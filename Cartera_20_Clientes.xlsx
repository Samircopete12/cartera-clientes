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icio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Cartera" sheetId="3" state="visible" r:id="rId3"/>
    <sheet xmlns:r="http://schemas.openxmlformats.org/officeDocument/2006/relationships" name="Aging" sheetId="4" state="visible" r:id="rId4"/>
    <sheet xmlns:r="http://schemas.openxmlformats.org/officeDocument/2006/relationships" name="Conciliacion" sheetId="5" state="visible" r:id="rId5"/>
    <sheet xmlns:r="http://schemas.openxmlformats.org/officeDocument/2006/relationships" name="Pagos" sheetId="6" state="visible" r:id="rId6"/>
    <sheet xmlns:r="http://schemas.openxmlformats.org/officeDocument/2006/relationships" name="Notas" sheetId="7" state="visible" r:id="rId7"/>
    <sheet xmlns:r="http://schemas.openxmlformats.org/officeDocument/2006/relationships" name="Facturas" sheetId="8" state="visible" r:id="rId8"/>
    <sheet xmlns:r="http://schemas.openxmlformats.org/officeDocument/2006/relationships" name="Clientes" sheetId="9" state="visible" r:id="rId9"/>
    <sheet xmlns:r="http://schemas.openxmlformats.org/officeDocument/2006/relationships" name="Aplicacion" sheetId="10" state="visible" r:id="rId10"/>
    <sheet xmlns:r="http://schemas.openxmlformats.org/officeDocument/2006/relationships" name="Extracto" sheetId="11" state="visible" r:id="rId11"/>
    <sheet xmlns:r="http://schemas.openxmlformats.org/officeDocument/2006/relationships" name="Validacion" sheetId="12" state="visible" r:id="rId12"/>
  </sheets>
  <definedNames>
    <definedName name="_xlnm.Print_Area" localSheetId="1">'Dashboard'!$A$1:$I$60</definedName>
    <definedName name="_xlnm._FilterDatabase" localSheetId="2" hidden="1">'Cartera'!$A$1:$M$51</definedName>
    <definedName name="_xlnm._FilterDatabase" localSheetId="3" hidden="1">'Aging'!$A$1:$M$21</definedName>
    <definedName name="_xlnm._FilterDatabase" localSheetId="4" hidden="1">'Conciliacion'!$A$1:$I$37</definedName>
    <definedName name="_xlnm._FilterDatabase" localSheetId="5" hidden="1">'Pagos'!$A$1:$N$36</definedName>
    <definedName name="_xlnm._FilterDatabase" localSheetId="6" hidden="1">'Notas'!$A$1:$G$15</definedName>
    <definedName name="_xlnm._FilterDatabase" localSheetId="7" hidden="1">'Facturas'!$A$1:$G$51</definedName>
    <definedName name="_xlnm._FilterDatabase" localSheetId="8" hidden="1">'Clientes'!$A$1:$F$21</definedName>
    <definedName name="_xlnm._FilterDatabase" localSheetId="9" hidden="1">'Aplicacion'!$A$1:$E$41</definedName>
    <definedName name="_xlnm._FilterDatabase" localSheetId="10" hidden="1">'Extracto'!$A$1:$E$36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&quot;$&quot;#,##0;[Red]-&quot;$&quot;#,##0"/>
    <numFmt numFmtId="167" formatCode="0.0%"/>
  </numFmts>
  <fonts count="14">
    <font>
      <name val="Calibri"/>
      <family val="2"/>
      <color theme="1"/>
      <sz val="11"/>
      <scheme val="minor"/>
    </font>
    <font>
      <name val="Calibri"/>
      <b val="1"/>
      <color rgb="0016324F"/>
      <sz val="22"/>
    </font>
    <font>
      <name val="Calibri"/>
      <i val="1"/>
      <color rgb="005F6F7F"/>
      <sz val="10"/>
    </font>
    <font>
      <b val="1"/>
      <color rgb="0016324F"/>
    </font>
    <font>
      <b val="1"/>
      <color rgb="0016324F"/>
      <sz val="12"/>
    </font>
    <font>
      <name val="Calibri"/>
      <b val="1"/>
      <color rgb="00FFFFFF"/>
      <sz val="10"/>
    </font>
    <font>
      <b val="1"/>
      <color rgb="002A7F8F"/>
    </font>
    <font>
      <i val="1"/>
      <color rgb="005F6F7F"/>
    </font>
    <font>
      <b val="1"/>
      <color rgb="005F6F7F"/>
      <sz val="9"/>
    </font>
    <font>
      <b val="1"/>
      <color rgb="0016324F"/>
      <sz val="14"/>
    </font>
    <font>
      <b val="1"/>
      <color rgb="00FFFFFF"/>
      <sz val="10"/>
    </font>
    <font>
      <color rgb="005F6F7F"/>
      <sz val="9"/>
    </font>
    <font>
      <color rgb="005F6F7F"/>
      <sz val="10"/>
    </font>
    <font>
      <name val="Calibri"/>
      <b val="1"/>
      <color rgb="0016324F"/>
      <sz val="18"/>
    </font>
  </fonts>
  <fills count="7">
    <fill>
      <patternFill/>
    </fill>
    <fill>
      <patternFill patternType="gray125"/>
    </fill>
    <fill>
      <patternFill patternType="solid">
        <fgColor rgb="00FCF3CF"/>
      </patternFill>
    </fill>
    <fill>
      <patternFill patternType="solid">
        <fgColor rgb="00EEF3F7"/>
      </patternFill>
    </fill>
    <fill>
      <patternFill patternType="solid">
        <fgColor rgb="0016324F"/>
      </patternFill>
    </fill>
    <fill>
      <patternFill patternType="solid">
        <fgColor rgb="00D5F5E3"/>
      </patternFill>
    </fill>
    <fill>
      <patternFill patternType="solid">
        <fgColor rgb="00FDEBD0"/>
      </patternFill>
    </fill>
  </fills>
  <borders count="3">
    <border>
      <left/>
      <right/>
      <top/>
      <bottom/>
      <diagonal/>
    </border>
    <border>
      <left style="thin">
        <color rgb="00D5DEE7"/>
      </left>
      <right style="thin">
        <color rgb="00D5DEE7"/>
      </right>
      <top style="thin">
        <color rgb="00D5DEE7"/>
      </top>
      <bottom style="thin">
        <color rgb="00D5DEE7"/>
      </bottom>
    </border>
    <border>
      <bottom style="thin">
        <color rgb="00D5DEE7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0" borderId="0" pivotButton="0" quotePrefix="0" xfId="0"/>
    <xf numFmtId="165" fontId="0" fillId="2" borderId="1" pivotButton="0" quotePrefix="0" xfId="0"/>
    <xf numFmtId="0" fontId="0" fillId="0" borderId="1" pivotButton="0" quotePrefix="0" xfId="0"/>
    <xf numFmtId="0" fontId="4" fillId="3" borderId="0" pivotButton="0" quotePrefix="0" xfId="0"/>
    <xf numFmtId="0" fontId="0" fillId="0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165" fontId="6" fillId="0" borderId="0" pivotButton="0" quotePrefix="0" xfId="0"/>
    <xf numFmtId="0" fontId="7" fillId="0" borderId="0" pivotButton="0" quotePrefix="0" xfId="0"/>
    <xf numFmtId="0" fontId="8" fillId="3" borderId="2" applyAlignment="1" pivotButton="0" quotePrefix="0" xfId="0">
      <alignment vertical="center"/>
    </xf>
    <xf numFmtId="166" fontId="9" fillId="0" borderId="2" applyAlignment="1" pivotButton="0" quotePrefix="0" xfId="0">
      <alignment vertical="center"/>
    </xf>
    <xf numFmtId="167" fontId="9" fillId="0" borderId="2" applyAlignment="1" pivotButton="0" quotePrefix="0" xfId="0">
      <alignment vertical="center"/>
    </xf>
    <xf numFmtId="3" fontId="9" fillId="0" borderId="2" applyAlignment="1" pivotButton="0" quotePrefix="0" xfId="0">
      <alignment vertical="center"/>
    </xf>
    <xf numFmtId="0" fontId="10" fillId="4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166" fontId="0" fillId="0" borderId="1" applyAlignment="1" pivotButton="0" quotePrefix="0" xfId="0">
      <alignment horizontal="center"/>
    </xf>
    <xf numFmtId="167" fontId="0" fillId="0" borderId="1" applyAlignment="1" pivotButton="0" quotePrefix="0" xfId="0">
      <alignment horizontal="center"/>
    </xf>
    <xf numFmtId="166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left"/>
    </xf>
    <xf numFmtId="166" fontId="3" fillId="3" borderId="1" applyAlignment="1" pivotButton="0" quotePrefix="0" xfId="0">
      <alignment horizontal="center"/>
    </xf>
    <xf numFmtId="167" fontId="3" fillId="3" borderId="1" applyAlignment="1" pivotButton="0" quotePrefix="0" xfId="0">
      <alignment horizontal="center"/>
    </xf>
    <xf numFmtId="166" fontId="0" fillId="0" borderId="1" pivotButton="0" quotePrefix="0" xfId="0"/>
    <xf numFmtId="0" fontId="11" fillId="0" borderId="1" pivotButton="0" quotePrefix="0" xfId="0"/>
    <xf numFmtId="166" fontId="3" fillId="0" borderId="1" pivotButton="0" quotePrefix="0" xfId="0"/>
    <xf numFmtId="3" fontId="3" fillId="0" borderId="1" pivotButton="0" quotePrefix="0" xfId="0"/>
    <xf numFmtId="0" fontId="12" fillId="0" borderId="0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right" vertical="center"/>
    </xf>
    <xf numFmtId="3" fontId="0" fillId="0" borderId="1" applyAlignment="1" pivotButton="0" quotePrefix="0" xfId="0">
      <alignment horizontal="center" vertical="center"/>
    </xf>
    <xf numFmtId="167" fontId="0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/>
    </xf>
    <xf numFmtId="0" fontId="3" fillId="3" borderId="1" pivotButton="0" quotePrefix="0" xfId="0"/>
    <xf numFmtId="166" fontId="3" fillId="3" borderId="1" applyAlignment="1" pivotButton="0" quotePrefix="0" xfId="0">
      <alignment horizontal="right" vertical="center"/>
    </xf>
    <xf numFmtId="166" fontId="0" fillId="2" borderId="1" applyAlignment="1" pivotButton="0" quotePrefix="0" xfId="0">
      <alignment horizontal="right" vertical="center"/>
    </xf>
    <xf numFmtId="0" fontId="0" fillId="5" borderId="1" pivotButton="0" quotePrefix="0" xfId="0"/>
    <xf numFmtId="0" fontId="0" fillId="6" borderId="1" pivotButton="0" quotePrefix="0" xfId="0"/>
    <xf numFmtId="0" fontId="13" fillId="0" borderId="0" applyAlignment="1" pivotButton="0" quotePrefix="0" xfId="0">
      <alignment vertical="center"/>
    </xf>
  </cellXfs>
  <cellStyles count="1">
    <cellStyle name="Normal" xfId="0" builtinId="0" hidden="0"/>
  </cellStyles>
  <dxfs count="6">
    <dxf>
      <fill>
        <patternFill patternType="solid">
          <fgColor rgb="00FADBD8"/>
        </patternFill>
      </fill>
    </dxf>
    <dxf>
      <fill>
        <patternFill patternType="solid">
          <fgColor rgb="00FCF3CF"/>
        </patternFill>
      </fill>
    </dxf>
    <dxf>
      <fill>
        <patternFill patternType="solid">
          <fgColor rgb="00D5F5E3"/>
        </patternFill>
      </fill>
    </dxf>
    <dxf>
      <fill>
        <patternFill patternType="solid">
          <fgColor rgb="00D6EAF8"/>
        </patternFill>
      </fill>
    </dxf>
    <dxf>
      <fill>
        <patternFill patternType="solid">
          <fgColor rgb="00FDEBD0"/>
        </patternFill>
      </fill>
    </dxf>
    <dxf>
      <fill>
        <patternFill patternType="solid">
          <fgColor rgb="00F5B7B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Cartera por rango de vencimiento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'Dashboard'!B11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'Dashboard'!$A$12:$A$16</f>
            </numRef>
          </cat>
          <val>
            <numRef>
              <f>'Dashboard'!$B$12:$B$16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Saldo COP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5 clientes por saldo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'Dashboard'!F11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'Dashboard'!$E$12:$E$16</f>
            </numRef>
          </cat>
          <val>
            <numRef>
              <f>'Dashboard'!$F$12:$F$16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Saldo COP</a:t>
                </a:r>
              </a:p>
            </rich>
          </tx>
        </title>
        <numFmt formatCode="&quot;$&quot;#,##0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Composición de la cartera</a:t>
            </a:r>
          </a:p>
        </rich>
      </tx>
    </title>
    <plotArea>
      <pieChart>
        <varyColors val="1"/>
        <ser>
          <idx val="0"/>
          <order val="0"/>
          <tx>
            <strRef>
              <f>'Dashboard'!B20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'Dashboard'!$A$21:$A$22</f>
            </numRef>
          </cat>
          <val>
            <numRef>
              <f>'Dashboard'!$B$21:$B$22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24</row>
      <rowOff>0</rowOff>
    </from>
    <ext cx="396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24</row>
      <rowOff>0</rowOff>
    </from>
    <ext cx="468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42</row>
      <rowOff>0</rowOff>
    </from>
    <ext cx="36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C9A227"/>
    <outlinePr summaryBelow="1" summaryRight="1"/>
    <pageSetUpPr/>
  </sheetPr>
  <dimension ref="A1:I3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6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32" customHeight="1">
      <c r="A1" s="1" t="inlineStr">
        <is>
          <t>Cartera de clientes — caso de 20 clientes</t>
        </is>
      </c>
    </row>
    <row r="2">
      <c r="A2" s="2" t="inlineStr">
        <is>
          <t>Empresa ficticia: Distribuciones Andinas S.A.S. · Corte: 30/09/2026 · Datos 100% sintéticos</t>
        </is>
      </c>
    </row>
    <row r="4">
      <c r="A4" s="3" t="inlineStr">
        <is>
          <t>Fecha de corte</t>
        </is>
      </c>
      <c r="B4" s="4" t="n">
        <v>46295</v>
      </c>
      <c r="D4" s="3" t="inlineStr">
        <is>
          <t>Moneda</t>
        </is>
      </c>
      <c r="E4" s="5" t="inlineStr">
        <is>
          <t>COP</t>
        </is>
      </c>
    </row>
    <row r="6">
      <c r="A6" s="6" t="inlineStr">
        <is>
          <t>Objetivo del caso</t>
        </is>
      </c>
    </row>
    <row r="7" ht="48" customHeight="1">
      <c r="A7" s="7" t="inlineStr">
        <is>
          <t>Gestionar la cartera de 20 clientes: emitir y registrar notas crédito y débito, aplicar pagos, cruzar saldos entre clientes y empresa, consultar el extracto bancario y construir el aging de cartera.</t>
        </is>
      </c>
    </row>
    <row r="8">
      <c r="A8" s="7" t="n"/>
    </row>
    <row r="9">
      <c r="A9" s="8" t="inlineStr">
        <is>
          <t>Qué contiene el workbook</t>
        </is>
      </c>
    </row>
    <row r="10">
      <c r="A10" s="7" t="inlineStr">
        <is>
          <t>Dashboard: KPIs, aging, top 5 clientes y conciliación bancaria.</t>
        </is>
      </c>
    </row>
    <row r="11">
      <c r="A11" s="7" t="inlineStr">
        <is>
          <t>Cartera: saldo por factura después de notas y pagos aplicados.</t>
        </is>
      </c>
    </row>
    <row r="12">
      <c r="A12" s="7" t="inlineStr">
        <is>
          <t>Aging: saldo por cliente y por rango de vencimiento (vigente, 0-30, 31-60, 61-90, &gt;90).</t>
        </is>
      </c>
    </row>
    <row r="13">
      <c r="A13" s="7" t="inlineStr">
        <is>
          <t>Conciliacion: pagos registrados contra extracto bancario, con diferencias identificadas.</t>
        </is>
      </c>
    </row>
    <row r="14">
      <c r="A14" s="7" t="inlineStr">
        <is>
          <t>Pagos / Aplicacion: recaudos, aplicación a facturas y saldos no aplicados.</t>
        </is>
      </c>
    </row>
    <row r="15">
      <c r="A15" s="7" t="inlineStr">
        <is>
          <t>Notas / Facturas / Clientes / Extracto: datos fuente del caso.</t>
        </is>
      </c>
    </row>
    <row r="16">
      <c r="A16" s="7" t="inlineStr">
        <is>
          <t>Validacion: controles automáticos de integridad.</t>
        </is>
      </c>
    </row>
    <row r="17">
      <c r="A17" s="7" t="n"/>
    </row>
    <row r="18">
      <c r="A18" s="8" t="inlineStr">
        <is>
          <t>Preguntas para resolver</t>
        </is>
      </c>
    </row>
    <row r="19">
      <c r="A19" s="7" t="inlineStr">
        <is>
          <t>1. ¿Cuál es la cartera total y qué porcentaje está vencido?</t>
        </is>
      </c>
    </row>
    <row r="20">
      <c r="A20" s="7" t="inlineStr">
        <is>
          <t>2. ¿Qué clientes superan su cupo de crédito y cuáles son el top 5 por saldo?</t>
        </is>
      </c>
    </row>
    <row r="21">
      <c r="A21" s="7" t="inlineStr">
        <is>
          <t>3. ¿Cuánto hay en cada rango de aging y cuánto en riesgo &gt;90 días?</t>
        </is>
      </c>
    </row>
    <row r="22">
      <c r="A22" s="7" t="inlineStr">
        <is>
          <t>4. ¿Qué pagos no han sido aplicados y a qué facturas deberían aplicarse?</t>
        </is>
      </c>
    </row>
    <row r="23">
      <c r="A23" s="7" t="inlineStr">
        <is>
          <t>5. ¿Qué diferencias hay entre el extracto bancario y los pagos registrados?</t>
        </is>
      </c>
    </row>
    <row r="24">
      <c r="A24" s="7" t="inlineStr">
        <is>
          <t>6. ¿Qué notas crédito/débito explican el saldo de una factura específica?</t>
        </is>
      </c>
    </row>
    <row r="25">
      <c r="A25" s="7" t="inlineStr">
        <is>
          <t>7. ¿Qué cliente priorizarías para cobro y por qué?</t>
        </is>
      </c>
    </row>
    <row r="26">
      <c r="A26" s="7" t="n"/>
    </row>
    <row r="27">
      <c r="A27" s="8" t="inlineStr">
        <is>
          <t>Cómo usar</t>
        </is>
      </c>
    </row>
    <row r="28">
      <c r="A28" s="7" t="inlineStr">
        <is>
          <t>1. Revisá el Dashboard y el Aging.</t>
        </is>
      </c>
    </row>
    <row r="29">
      <c r="A29" s="7" t="inlineStr">
        <is>
          <t>2. Elegí un cliente y reconstruí su saldo desde Facturas, Notas y Aplicacion.</t>
        </is>
      </c>
    </row>
    <row r="30">
      <c r="A30" s="7" t="inlineStr">
        <is>
          <t>3. Conciliá los pagos contra el Extracto y explicá cada diferencia.</t>
        </is>
      </c>
    </row>
    <row r="31">
      <c r="A31" s="7" t="inlineStr">
        <is>
          <t>4. Respondé las preguntas con cifras y una acción concreta de cobro.</t>
        </is>
      </c>
    </row>
    <row r="32">
      <c r="A32" s="7" t="n"/>
    </row>
    <row r="33">
      <c r="A33" s="8" t="inlineStr">
        <is>
          <t>Nota</t>
        </is>
      </c>
    </row>
    <row r="34" ht="32" customHeight="1">
      <c r="A34" s="7" t="inlineStr">
        <is>
          <t>Todos los nombres, NIT, facturas, pagos y extractos son ficticios. El caso no usa información real de empresas.</t>
        </is>
      </c>
    </row>
  </sheetData>
  <mergeCells count="4">
    <mergeCell ref="A1:I1"/>
    <mergeCell ref="A7:I7"/>
    <mergeCell ref="A2:I2"/>
    <mergeCell ref="A34:I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9A227"/>
    <outlinePr summaryBelow="1" summaryRight="1"/>
    <pageSetUpPr fitToPage="1"/>
  </sheetPr>
  <dimension ref="A1:I46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2" customWidth="1" min="3" max="3"/>
    <col width="3" customWidth="1" min="4" max="4"/>
    <col width="28" customWidth="1" min="5" max="5"/>
    <col width="15" customWidth="1" min="6" max="6"/>
    <col width="10" customWidth="1" min="7" max="7"/>
    <col width="12" customWidth="1" min="8" max="8"/>
    <col width="8" customWidth="1" min="9" max="9"/>
  </cols>
  <sheetData>
    <row r="1" ht="32" customHeight="1">
      <c r="A1" s="1" t="inlineStr">
        <is>
          <t>Dashboard de cartera — 20 clientes</t>
        </is>
      </c>
    </row>
    <row r="2">
      <c r="A2" s="2" t="inlineStr">
        <is>
          <t>Distribuciones Andinas S.A.S. · Datos ficticios · Moneda COP</t>
        </is>
      </c>
    </row>
    <row r="3">
      <c r="A3" s="3" t="inlineStr">
        <is>
          <t>Corte:</t>
        </is>
      </c>
      <c r="B3" s="9">
        <f>Inicio!B4</f>
        <v/>
      </c>
      <c r="G3" s="3" t="inlineStr">
        <is>
          <t>Fuente:</t>
        </is>
      </c>
      <c r="H3" s="10" t="inlineStr">
        <is>
          <t>Facturas, Notas, Pagos y Extracto</t>
        </is>
      </c>
    </row>
    <row r="5" ht="28" customHeight="1">
      <c r="A5" s="11" t="inlineStr">
        <is>
          <t>Cartera total</t>
        </is>
      </c>
      <c r="B5" s="12">
        <f>SUM(Cartera!J2:J51)</f>
        <v/>
      </c>
      <c r="D5" s="11" t="inlineStr">
        <is>
          <t>Cartera vencida</t>
        </is>
      </c>
      <c r="E5" s="12">
        <f>SUMIFS(Cartera!J2:J51,Cartera!L2:L51,"Vencida")</f>
        <v/>
      </c>
      <c r="G5" s="11" t="inlineStr">
        <is>
          <t>% vencida</t>
        </is>
      </c>
      <c r="H5" s="13">
        <f>IF(B5=0,0,E5/B5)</f>
        <v/>
      </c>
    </row>
    <row r="6" ht="28" customHeight="1">
      <c r="A6" s="11" t="inlineStr">
        <is>
          <t>Recaudo</t>
        </is>
      </c>
      <c r="B6" s="12">
        <f>SUM(Pagos!E2:E36)</f>
        <v/>
      </c>
      <c r="D6" s="11" t="inlineStr">
        <is>
          <t>Pagos no aplicados</t>
        </is>
      </c>
      <c r="E6" s="12">
        <f>SUM(Pagos!G2:G36)</f>
        <v/>
      </c>
      <c r="G6" s="11" t="inlineStr">
        <is>
          <t>Clientes con saldo</t>
        </is>
      </c>
      <c r="H6" s="14">
        <f>COUNTIF(Aging!D2:D21,"&gt;0")</f>
        <v/>
      </c>
    </row>
    <row r="7" ht="28" customHeight="1">
      <c r="A7" s="11" t="inlineStr">
        <is>
          <t>Facturado</t>
        </is>
      </c>
      <c r="B7" s="12">
        <f>SUM(Facturas!F2:F51)</f>
        <v/>
      </c>
      <c r="D7" s="11" t="inlineStr">
        <is>
          <t>Notas crédito</t>
        </is>
      </c>
      <c r="E7" s="12">
        <f>SUMIFS(Notas!F2:F15,Notas!A2:A15,"Crédito")</f>
        <v/>
      </c>
      <c r="G7" s="11" t="inlineStr">
        <is>
          <t>Notas débito</t>
        </is>
      </c>
      <c r="H7" s="12">
        <f>SUMIFS(Notas!F2:F15,Notas!A2:A15,"Débito")</f>
        <v/>
      </c>
    </row>
    <row r="8" ht="28" customHeight="1">
      <c r="A8" s="11" t="inlineStr">
        <is>
          <t>Cupo total</t>
        </is>
      </c>
      <c r="B8" s="12">
        <f>SUM(Clientes!E2:E21)</f>
        <v/>
      </c>
      <c r="D8" s="11" t="inlineStr">
        <is>
          <t>% cupo usado</t>
        </is>
      </c>
      <c r="E8" s="13">
        <f>IF(B8=0,0,B5/B8)</f>
        <v/>
      </c>
      <c r="G8" s="11" t="inlineStr">
        <is>
          <t>Clientes sobre cupo</t>
        </is>
      </c>
      <c r="H8" s="14">
        <f>COUNTIF(Aging!L2:L21,"Rojo")</f>
        <v/>
      </c>
    </row>
    <row r="10">
      <c r="A10" s="6" t="inlineStr">
        <is>
          <t>Aging de cartera</t>
        </is>
      </c>
      <c r="E10" s="6" t="inlineStr">
        <is>
          <t>Top 5 clientes por saldo</t>
        </is>
      </c>
    </row>
    <row r="11">
      <c r="A11" s="15" t="inlineStr">
        <is>
          <t>Rango</t>
        </is>
      </c>
      <c r="B11" s="15" t="inlineStr">
        <is>
          <t>Saldo</t>
        </is>
      </c>
      <c r="C11" s="15" t="inlineStr">
        <is>
          <t>% cartera</t>
        </is>
      </c>
      <c r="E11" s="15" t="inlineStr">
        <is>
          <t>Cliente</t>
        </is>
      </c>
      <c r="F11" s="15" t="inlineStr">
        <is>
          <t>Saldo</t>
        </is>
      </c>
      <c r="G11" s="15" t="inlineStr">
        <is>
          <t>% cupo</t>
        </is>
      </c>
      <c r="H11" s="15" t="inlineStr">
        <is>
          <t>Semáforo</t>
        </is>
      </c>
    </row>
    <row r="12">
      <c r="A12" s="16" t="inlineStr">
        <is>
          <t>Vigente</t>
        </is>
      </c>
      <c r="B12" s="17">
        <f>SUMPRODUCT((Cartera!M2:M51="Vigente")*Cartera!J2:J51)</f>
        <v/>
      </c>
      <c r="C12" s="18">
        <f>IF($B$17=0,0,B12/$B$17)</f>
        <v/>
      </c>
      <c r="E12" s="5">
        <f>INDEX(Aging!$B$2:$B$21,MATCH(1,Aging!$M$2:$M$21,0))</f>
        <v/>
      </c>
      <c r="F12" s="19">
        <f>INDEX(Aging!$D$2:$D$21,MATCH(1,Aging!$M$2:$M$21,0))</f>
        <v/>
      </c>
      <c r="G12" s="18">
        <f>INDEX(Aging!$K$2:$K$21,MATCH(1,Aging!$M$2:$M$21,0))</f>
        <v/>
      </c>
      <c r="H12" s="20">
        <f>INDEX(Aging!$L$2:$L$21,MATCH(1,Aging!$M$2:$M$21,0))</f>
        <v/>
      </c>
    </row>
    <row r="13">
      <c r="A13" s="16" t="inlineStr">
        <is>
          <t>0-30</t>
        </is>
      </c>
      <c r="B13" s="17">
        <f>SUMPRODUCT((Cartera!M2:M51="0-30")*Cartera!J2:J51)</f>
        <v/>
      </c>
      <c r="C13" s="18">
        <f>IF($B$17=0,0,B13/$B$17)</f>
        <v/>
      </c>
      <c r="E13" s="5">
        <f>INDEX(Aging!$B$2:$B$21,MATCH(2,Aging!$M$2:$M$21,0))</f>
        <v/>
      </c>
      <c r="F13" s="19">
        <f>INDEX(Aging!$D$2:$D$21,MATCH(2,Aging!$M$2:$M$21,0))</f>
        <v/>
      </c>
      <c r="G13" s="18">
        <f>INDEX(Aging!$K$2:$K$21,MATCH(2,Aging!$M$2:$M$21,0))</f>
        <v/>
      </c>
      <c r="H13" s="20">
        <f>INDEX(Aging!$L$2:$L$21,MATCH(2,Aging!$M$2:$M$21,0))</f>
        <v/>
      </c>
    </row>
    <row r="14">
      <c r="A14" s="16" t="inlineStr">
        <is>
          <t>31-60</t>
        </is>
      </c>
      <c r="B14" s="17">
        <f>SUMPRODUCT((Cartera!M2:M51="31-60")*Cartera!J2:J51)</f>
        <v/>
      </c>
      <c r="C14" s="18">
        <f>IF($B$17=0,0,B14/$B$17)</f>
        <v/>
      </c>
      <c r="E14" s="5">
        <f>INDEX(Aging!$B$2:$B$21,MATCH(3,Aging!$M$2:$M$21,0))</f>
        <v/>
      </c>
      <c r="F14" s="19">
        <f>INDEX(Aging!$D$2:$D$21,MATCH(3,Aging!$M$2:$M$21,0))</f>
        <v/>
      </c>
      <c r="G14" s="18">
        <f>INDEX(Aging!$K$2:$K$21,MATCH(3,Aging!$M$2:$M$21,0))</f>
        <v/>
      </c>
      <c r="H14" s="20">
        <f>INDEX(Aging!$L$2:$L$21,MATCH(3,Aging!$M$2:$M$21,0))</f>
        <v/>
      </c>
    </row>
    <row r="15">
      <c r="A15" s="16" t="inlineStr">
        <is>
          <t>61-90</t>
        </is>
      </c>
      <c r="B15" s="17">
        <f>SUMPRODUCT((Cartera!M2:M51="61-90")*Cartera!J2:J51)</f>
        <v/>
      </c>
      <c r="C15" s="18">
        <f>IF($B$17=0,0,B15/$B$17)</f>
        <v/>
      </c>
      <c r="E15" s="5">
        <f>INDEX(Aging!$B$2:$B$21,MATCH(4,Aging!$M$2:$M$21,0))</f>
        <v/>
      </c>
      <c r="F15" s="19">
        <f>INDEX(Aging!$D$2:$D$21,MATCH(4,Aging!$M$2:$M$21,0))</f>
        <v/>
      </c>
      <c r="G15" s="18">
        <f>INDEX(Aging!$K$2:$K$21,MATCH(4,Aging!$M$2:$M$21,0))</f>
        <v/>
      </c>
      <c r="H15" s="20">
        <f>INDEX(Aging!$L$2:$L$21,MATCH(4,Aging!$M$2:$M$21,0))</f>
        <v/>
      </c>
    </row>
    <row r="16">
      <c r="A16" s="16" t="inlineStr">
        <is>
          <t>&gt;90</t>
        </is>
      </c>
      <c r="B16" s="17">
        <f>SUMPRODUCT((Cartera!M2:M51="&gt;90")*Cartera!J2:J51)</f>
        <v/>
      </c>
      <c r="C16" s="18">
        <f>IF($B$17=0,0,B16/$B$17)</f>
        <v/>
      </c>
      <c r="E16" s="5">
        <f>INDEX(Aging!$B$2:$B$21,MATCH(5,Aging!$M$2:$M$21,0))</f>
        <v/>
      </c>
      <c r="F16" s="19">
        <f>INDEX(Aging!$D$2:$D$21,MATCH(5,Aging!$M$2:$M$21,0))</f>
        <v/>
      </c>
      <c r="G16" s="18">
        <f>INDEX(Aging!$K$2:$K$21,MATCH(5,Aging!$M$2:$M$21,0))</f>
        <v/>
      </c>
      <c r="H16" s="20">
        <f>INDEX(Aging!$L$2:$L$21,MATCH(5,Aging!$M$2:$M$21,0))</f>
        <v/>
      </c>
    </row>
    <row r="17">
      <c r="A17" s="21" t="inlineStr">
        <is>
          <t>Total</t>
        </is>
      </c>
      <c r="B17" s="22">
        <f>SUM(B12:B16)</f>
        <v/>
      </c>
      <c r="C17" s="23">
        <f>SUM(C12:C16)</f>
        <v/>
      </c>
    </row>
    <row r="20">
      <c r="A20" s="5" t="inlineStr">
        <is>
          <t>Estado</t>
        </is>
      </c>
      <c r="B20" s="5" t="inlineStr">
        <is>
          <t>Saldo</t>
        </is>
      </c>
      <c r="E20" s="6" t="inlineStr">
        <is>
          <t>Conciliación bancaria</t>
        </is>
      </c>
    </row>
    <row r="21">
      <c r="A21" s="5" t="inlineStr">
        <is>
          <t>Vigente</t>
        </is>
      </c>
      <c r="B21" s="24">
        <f>B12</f>
        <v/>
      </c>
      <c r="E21" s="25" t="inlineStr">
        <is>
          <t>Pagos registrados</t>
        </is>
      </c>
      <c r="F21" s="26">
        <f>SUM(Pagos!E2:E36)</f>
        <v/>
      </c>
    </row>
    <row r="22">
      <c r="A22" s="5" t="inlineStr">
        <is>
          <t>Vencida</t>
        </is>
      </c>
      <c r="B22" s="24">
        <f>SUM(B13:B16)</f>
        <v/>
      </c>
      <c r="E22" s="25" t="inlineStr">
        <is>
          <t>Extracto bancario</t>
        </is>
      </c>
      <c r="F22" s="26">
        <f>SUM(Extracto!D2:D36)</f>
        <v/>
      </c>
    </row>
    <row r="23">
      <c r="E23" s="25" t="inlineStr">
        <is>
          <t>Diferencia</t>
        </is>
      </c>
      <c r="F23" s="26">
        <f>F22-F21</f>
        <v/>
      </c>
    </row>
    <row r="24">
      <c r="E24" s="25" t="inlineStr">
        <is>
          <t>Pagos sin banco</t>
        </is>
      </c>
      <c r="F24" s="27">
        <f>COUNTIF(Conciliacion!H2:H37,"Pago sin banco")</f>
        <v/>
      </c>
    </row>
    <row r="25">
      <c r="E25" s="25" t="inlineStr">
        <is>
          <t>Banco sin pago</t>
        </is>
      </c>
      <c r="F25" s="27">
        <f>COUNTIF(Conciliacion!H2:H37,"Banco sin pago")</f>
        <v/>
      </c>
    </row>
    <row r="26">
      <c r="E26" s="25" t="inlineStr">
        <is>
          <t>Diferencias de valor</t>
        </is>
      </c>
      <c r="F26" s="27">
        <f>COUNTIF(Conciliacion!H2:H37,"Diferencia de valor")</f>
        <v/>
      </c>
    </row>
    <row r="27">
      <c r="E27" s="25" t="inlineStr">
        <is>
          <t>Pagos conciliados</t>
        </is>
      </c>
      <c r="F27" s="27">
        <f>COUNTIF(Conciliacion!H2:H37,"Conciliado")</f>
        <v/>
      </c>
    </row>
    <row r="43">
      <c r="E43" s="3" t="inlineStr">
        <is>
          <t>Lectura rápida</t>
        </is>
      </c>
    </row>
    <row r="44">
      <c r="E44" s="28" t="inlineStr">
        <is>
          <t>La cartera vencida se concentra en los rangos 0-30 y &gt;90. Revisá los clientes en rojo: superan el cupo asignado.</t>
        </is>
      </c>
    </row>
    <row r="45"/>
    <row r="46"/>
  </sheetData>
  <mergeCells count="6">
    <mergeCell ref="A10:C10"/>
    <mergeCell ref="A2:I2"/>
    <mergeCell ref="E20:I20"/>
    <mergeCell ref="E10:I10"/>
    <mergeCell ref="A1:I1"/>
    <mergeCell ref="E44:I46"/>
  </mergeCells>
  <conditionalFormatting sqref="H12:H16">
    <cfRule type="expression" priority="1" dxfId="0">
      <formula>$H12="Rojo"</formula>
    </cfRule>
    <cfRule type="expression" priority="2" dxfId="1">
      <formula>$H12="Amarillo"</formula>
    </cfRule>
    <cfRule type="expression" priority="3" dxfId="2">
      <formula>$H12="Verde"</formula>
    </cfRule>
  </conditionalFormatting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2A7F8F"/>
    <outlinePr summaryBelow="1" summaryRight="1"/>
    <pageSetUpPr/>
  </sheetPr>
  <dimension ref="A1:M51"/>
  <sheetViews>
    <sheetView showGridLines="0" zoomScale="9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30" customWidth="1" min="3" max="3"/>
    <col width="12" customWidth="1" min="4" max="4"/>
    <col width="16" customWidth="1" min="5" max="5"/>
    <col width="15" customWidth="1" min="6" max="6"/>
    <col width="14" customWidth="1" min="7" max="7"/>
    <col width="13" customWidth="1" min="8" max="8"/>
    <col width="15" customWidth="1" min="9" max="9"/>
    <col width="15" customWidth="1" min="10" max="10"/>
    <col width="11" customWidth="1" min="11" max="11"/>
    <col width="11" customWidth="1" min="12" max="12"/>
    <col width="10" customWidth="1" min="13" max="13"/>
  </cols>
  <sheetData>
    <row r="1" ht="32" customHeight="1">
      <c r="A1" s="29" t="inlineStr">
        <is>
          <t>FacturaID</t>
        </is>
      </c>
      <c r="B1" s="29" t="inlineStr">
        <is>
          <t>ClienteID</t>
        </is>
      </c>
      <c r="C1" s="29" t="inlineStr">
        <is>
          <t>Cliente</t>
        </is>
      </c>
      <c r="D1" s="29" t="inlineStr">
        <is>
          <t>FechaFactura</t>
        </is>
      </c>
      <c r="E1" s="29" t="inlineStr">
        <is>
          <t>FechaVencimiento</t>
        </is>
      </c>
      <c r="F1" s="29" t="inlineStr">
        <is>
          <t>ValorFactura</t>
        </is>
      </c>
      <c r="G1" s="29" t="inlineStr">
        <is>
          <t>NotasCredito</t>
        </is>
      </c>
      <c r="H1" s="29" t="inlineStr">
        <is>
          <t>NotasDebito</t>
        </is>
      </c>
      <c r="I1" s="29" t="inlineStr">
        <is>
          <t>PagosAplicados</t>
        </is>
      </c>
      <c r="J1" s="29" t="inlineStr">
        <is>
          <t>Saldo</t>
        </is>
      </c>
      <c r="K1" s="29" t="inlineStr">
        <is>
          <t>DiasVencidos</t>
        </is>
      </c>
      <c r="L1" s="29" t="inlineStr">
        <is>
          <t>Estado</t>
        </is>
      </c>
      <c r="M1" s="29" t="inlineStr">
        <is>
          <t>Rango</t>
        </is>
      </c>
    </row>
    <row r="2">
      <c r="A2" s="5" t="inlineStr">
        <is>
          <t>FV-2026-001</t>
        </is>
      </c>
      <c r="B2" s="5" t="inlineStr">
        <is>
          <t>C001</t>
        </is>
      </c>
      <c r="C2" s="5">
        <f>IFERROR(INDEX(Clientes!$B$2:$B$21,MATCH(B2,Clientes!$A$2:$A$21,0)),"")</f>
        <v/>
      </c>
      <c r="D2" s="30" t="n">
        <v>46231</v>
      </c>
      <c r="E2" s="30" t="n">
        <v>46261</v>
      </c>
      <c r="F2" s="31" t="n">
        <v>3638000</v>
      </c>
      <c r="G2" s="31">
        <f>SUMIFS(Notas!$F$2:$F$15,Notas!$C$2:$C$15,A2,Notas!$A$2:$A$15,"Crédito")</f>
        <v/>
      </c>
      <c r="H2" s="31">
        <f>SUMIFS(Notas!$F$2:$F$15,Notas!$C$2:$C$15,A2,Notas!$A$2:$A$15,"Débito")</f>
        <v/>
      </c>
      <c r="I2" s="31">
        <f>SUMIFS(Aplicacion!$E$2:$E$41,Aplicacion!$B$2:$B$41,A2)</f>
        <v/>
      </c>
      <c r="J2" s="31">
        <f>F2-G2+H2-I2</f>
        <v/>
      </c>
      <c r="K2" s="32">
        <f>MAX(0,Inicio!$B$4-E2)</f>
        <v/>
      </c>
      <c r="L2" s="5">
        <f>IF(J2&lt;=0,"Pagada",IF(K2=0,"Vigente","Vencida"))</f>
        <v/>
      </c>
      <c r="M2" s="5">
        <f>IF(J2&lt;=0,"Pagada",IF(K2=0,"Vigente",IF(K2&lt;=30,"0-30",IF(K2&lt;=60,"31-60",IF(K2&lt;=90,"61-90","&gt;90")))))</f>
        <v/>
      </c>
    </row>
    <row r="3">
      <c r="A3" s="5" t="inlineStr">
        <is>
          <t>FV-2026-002</t>
        </is>
      </c>
      <c r="B3" s="5" t="inlineStr">
        <is>
          <t>C002</t>
        </is>
      </c>
      <c r="C3" s="5">
        <f>IFERROR(INDEX(Clientes!$B$2:$B$21,MATCH(B3,Clientes!$A$2:$A$21,0)),"")</f>
        <v/>
      </c>
      <c r="D3" s="30" t="n">
        <v>46169</v>
      </c>
      <c r="E3" s="30" t="n">
        <v>46199</v>
      </c>
      <c r="F3" s="31" t="n">
        <v>5524000</v>
      </c>
      <c r="G3" s="31">
        <f>SUMIFS(Notas!$F$2:$F$15,Notas!$C$2:$C$15,A3,Notas!$A$2:$A$15,"Crédito")</f>
        <v/>
      </c>
      <c r="H3" s="31">
        <f>SUMIFS(Notas!$F$2:$F$15,Notas!$C$2:$C$15,A3,Notas!$A$2:$A$15,"Débito")</f>
        <v/>
      </c>
      <c r="I3" s="31">
        <f>SUMIFS(Aplicacion!$E$2:$E$41,Aplicacion!$B$2:$B$41,A3)</f>
        <v/>
      </c>
      <c r="J3" s="31">
        <f>F3-G3+H3-I3</f>
        <v/>
      </c>
      <c r="K3" s="32">
        <f>MAX(0,Inicio!$B$4-E3)</f>
        <v/>
      </c>
      <c r="L3" s="5">
        <f>IF(J3&lt;=0,"Pagada",IF(K3=0,"Vigente","Vencida"))</f>
        <v/>
      </c>
      <c r="M3" s="5">
        <f>IF(J3&lt;=0,"Pagada",IF(K3=0,"Vigente",IF(K3&lt;=30,"0-30",IF(K3&lt;=60,"31-60",IF(K3&lt;=90,"61-90","&gt;90")))))</f>
        <v/>
      </c>
    </row>
    <row r="4">
      <c r="A4" s="5" t="inlineStr">
        <is>
          <t>FV-2026-003</t>
        </is>
      </c>
      <c r="B4" s="5" t="inlineStr">
        <is>
          <t>C003</t>
        </is>
      </c>
      <c r="C4" s="5">
        <f>IFERROR(INDEX(Clientes!$B$2:$B$21,MATCH(B4,Clientes!$A$2:$A$21,0)),"")</f>
        <v/>
      </c>
      <c r="D4" s="30" t="n">
        <v>46241</v>
      </c>
      <c r="E4" s="30" t="n">
        <v>46286</v>
      </c>
      <c r="F4" s="31" t="n">
        <v>5790000</v>
      </c>
      <c r="G4" s="31">
        <f>SUMIFS(Notas!$F$2:$F$15,Notas!$C$2:$C$15,A4,Notas!$A$2:$A$15,"Crédito")</f>
        <v/>
      </c>
      <c r="H4" s="31">
        <f>SUMIFS(Notas!$F$2:$F$15,Notas!$C$2:$C$15,A4,Notas!$A$2:$A$15,"Débito")</f>
        <v/>
      </c>
      <c r="I4" s="31">
        <f>SUMIFS(Aplicacion!$E$2:$E$41,Aplicacion!$B$2:$B$41,A4)</f>
        <v/>
      </c>
      <c r="J4" s="31">
        <f>F4-G4+H4-I4</f>
        <v/>
      </c>
      <c r="K4" s="32">
        <f>MAX(0,Inicio!$B$4-E4)</f>
        <v/>
      </c>
      <c r="L4" s="5">
        <f>IF(J4&lt;=0,"Pagada",IF(K4=0,"Vigente","Vencida"))</f>
        <v/>
      </c>
      <c r="M4" s="5">
        <f>IF(J4&lt;=0,"Pagada",IF(K4=0,"Vigente",IF(K4&lt;=30,"0-30",IF(K4&lt;=60,"31-60",IF(K4&lt;=90,"61-90","&gt;90")))))</f>
        <v/>
      </c>
    </row>
    <row r="5">
      <c r="A5" s="5" t="inlineStr">
        <is>
          <t>FV-2026-004</t>
        </is>
      </c>
      <c r="B5" s="5" t="inlineStr">
        <is>
          <t>C004</t>
        </is>
      </c>
      <c r="C5" s="5">
        <f>IFERROR(INDEX(Clientes!$B$2:$B$21,MATCH(B5,Clientes!$A$2:$A$21,0)),"")</f>
        <v/>
      </c>
      <c r="D5" s="30" t="n">
        <v>46277</v>
      </c>
      <c r="E5" s="30" t="n">
        <v>46307</v>
      </c>
      <c r="F5" s="31" t="n">
        <v>3730000</v>
      </c>
      <c r="G5" s="31">
        <f>SUMIFS(Notas!$F$2:$F$15,Notas!$C$2:$C$15,A5,Notas!$A$2:$A$15,"Crédito")</f>
        <v/>
      </c>
      <c r="H5" s="31">
        <f>SUMIFS(Notas!$F$2:$F$15,Notas!$C$2:$C$15,A5,Notas!$A$2:$A$15,"Débito")</f>
        <v/>
      </c>
      <c r="I5" s="31">
        <f>SUMIFS(Aplicacion!$E$2:$E$41,Aplicacion!$B$2:$B$41,A5)</f>
        <v/>
      </c>
      <c r="J5" s="31">
        <f>F5-G5+H5-I5</f>
        <v/>
      </c>
      <c r="K5" s="32">
        <f>MAX(0,Inicio!$B$4-E5)</f>
        <v/>
      </c>
      <c r="L5" s="5">
        <f>IF(J5&lt;=0,"Pagada",IF(K5=0,"Vigente","Vencida"))</f>
        <v/>
      </c>
      <c r="M5" s="5">
        <f>IF(J5&lt;=0,"Pagada",IF(K5=0,"Vigente",IF(K5&lt;=30,"0-30",IF(K5&lt;=60,"31-60",IF(K5&lt;=90,"61-90","&gt;90")))))</f>
        <v/>
      </c>
    </row>
    <row r="6">
      <c r="A6" s="5" t="inlineStr">
        <is>
          <t>FV-2026-005</t>
        </is>
      </c>
      <c r="B6" s="5" t="inlineStr">
        <is>
          <t>C005</t>
        </is>
      </c>
      <c r="C6" s="5">
        <f>IFERROR(INDEX(Clientes!$B$2:$B$21,MATCH(B6,Clientes!$A$2:$A$21,0)),"")</f>
        <v/>
      </c>
      <c r="D6" s="30" t="n">
        <v>46125</v>
      </c>
      <c r="E6" s="30" t="n">
        <v>46155</v>
      </c>
      <c r="F6" s="31" t="n">
        <v>4766000</v>
      </c>
      <c r="G6" s="31">
        <f>SUMIFS(Notas!$F$2:$F$15,Notas!$C$2:$C$15,A6,Notas!$A$2:$A$15,"Crédito")</f>
        <v/>
      </c>
      <c r="H6" s="31">
        <f>SUMIFS(Notas!$F$2:$F$15,Notas!$C$2:$C$15,A6,Notas!$A$2:$A$15,"Débito")</f>
        <v/>
      </c>
      <c r="I6" s="31">
        <f>SUMIFS(Aplicacion!$E$2:$E$41,Aplicacion!$B$2:$B$41,A6)</f>
        <v/>
      </c>
      <c r="J6" s="31">
        <f>F6-G6+H6-I6</f>
        <v/>
      </c>
      <c r="K6" s="32">
        <f>MAX(0,Inicio!$B$4-E6)</f>
        <v/>
      </c>
      <c r="L6" s="5">
        <f>IF(J6&lt;=0,"Pagada",IF(K6=0,"Vigente","Vencida"))</f>
        <v/>
      </c>
      <c r="M6" s="5">
        <f>IF(J6&lt;=0,"Pagada",IF(K6=0,"Vigente",IF(K6&lt;=30,"0-30",IF(K6&lt;=60,"31-60",IF(K6&lt;=90,"61-90","&gt;90")))))</f>
        <v/>
      </c>
    </row>
    <row r="7">
      <c r="A7" s="5" t="inlineStr">
        <is>
          <t>FV-2026-006</t>
        </is>
      </c>
      <c r="B7" s="5" t="inlineStr">
        <is>
          <t>C006</t>
        </is>
      </c>
      <c r="C7" s="5">
        <f>IFERROR(INDEX(Clientes!$B$2:$B$21,MATCH(B7,Clientes!$A$2:$A$21,0)),"")</f>
        <v/>
      </c>
      <c r="D7" s="30" t="n">
        <v>46232</v>
      </c>
      <c r="E7" s="30" t="n">
        <v>46292</v>
      </c>
      <c r="F7" s="31" t="n">
        <v>7242000</v>
      </c>
      <c r="G7" s="31">
        <f>SUMIFS(Notas!$F$2:$F$15,Notas!$C$2:$C$15,A7,Notas!$A$2:$A$15,"Crédito")</f>
        <v/>
      </c>
      <c r="H7" s="31">
        <f>SUMIFS(Notas!$F$2:$F$15,Notas!$C$2:$C$15,A7,Notas!$A$2:$A$15,"Débito")</f>
        <v/>
      </c>
      <c r="I7" s="31">
        <f>SUMIFS(Aplicacion!$E$2:$E$41,Aplicacion!$B$2:$B$41,A7)</f>
        <v/>
      </c>
      <c r="J7" s="31">
        <f>F7-G7+H7-I7</f>
        <v/>
      </c>
      <c r="K7" s="32">
        <f>MAX(0,Inicio!$B$4-E7)</f>
        <v/>
      </c>
      <c r="L7" s="5">
        <f>IF(J7&lt;=0,"Pagada",IF(K7=0,"Vigente","Vencida"))</f>
        <v/>
      </c>
      <c r="M7" s="5">
        <f>IF(J7&lt;=0,"Pagada",IF(K7=0,"Vigente",IF(K7&lt;=30,"0-30",IF(K7&lt;=60,"31-60",IF(K7&lt;=90,"61-90","&gt;90")))))</f>
        <v/>
      </c>
    </row>
    <row r="8">
      <c r="A8" s="5" t="inlineStr">
        <is>
          <t>FV-2026-007</t>
        </is>
      </c>
      <c r="B8" s="5" t="inlineStr">
        <is>
          <t>C007</t>
        </is>
      </c>
      <c r="C8" s="5">
        <f>IFERROR(INDEX(Clientes!$B$2:$B$21,MATCH(B8,Clientes!$A$2:$A$21,0)),"")</f>
        <v/>
      </c>
      <c r="D8" s="30" t="n">
        <v>46223</v>
      </c>
      <c r="E8" s="30" t="n">
        <v>46268</v>
      </c>
      <c r="F8" s="31" t="n">
        <v>988000</v>
      </c>
      <c r="G8" s="31">
        <f>SUMIFS(Notas!$F$2:$F$15,Notas!$C$2:$C$15,A8,Notas!$A$2:$A$15,"Crédito")</f>
        <v/>
      </c>
      <c r="H8" s="31">
        <f>SUMIFS(Notas!$F$2:$F$15,Notas!$C$2:$C$15,A8,Notas!$A$2:$A$15,"Débito")</f>
        <v/>
      </c>
      <c r="I8" s="31">
        <f>SUMIFS(Aplicacion!$E$2:$E$41,Aplicacion!$B$2:$B$41,A8)</f>
        <v/>
      </c>
      <c r="J8" s="31">
        <f>F8-G8+H8-I8</f>
        <v/>
      </c>
      <c r="K8" s="32">
        <f>MAX(0,Inicio!$B$4-E8)</f>
        <v/>
      </c>
      <c r="L8" s="5">
        <f>IF(J8&lt;=0,"Pagada",IF(K8=0,"Vigente","Vencida"))</f>
        <v/>
      </c>
      <c r="M8" s="5">
        <f>IF(J8&lt;=0,"Pagada",IF(K8=0,"Vigente",IF(K8&lt;=30,"0-30",IF(K8&lt;=60,"31-60",IF(K8&lt;=90,"61-90","&gt;90")))))</f>
        <v/>
      </c>
    </row>
    <row r="9">
      <c r="A9" s="5" t="inlineStr">
        <is>
          <t>FV-2026-008</t>
        </is>
      </c>
      <c r="B9" s="5" t="inlineStr">
        <is>
          <t>C008</t>
        </is>
      </c>
      <c r="C9" s="5">
        <f>IFERROR(INDEX(Clientes!$B$2:$B$21,MATCH(B9,Clientes!$A$2:$A$21,0)),"")</f>
        <v/>
      </c>
      <c r="D9" s="30" t="n">
        <v>46240</v>
      </c>
      <c r="E9" s="30" t="n">
        <v>46270</v>
      </c>
      <c r="F9" s="31" t="n">
        <v>6864000</v>
      </c>
      <c r="G9" s="31">
        <f>SUMIFS(Notas!$F$2:$F$15,Notas!$C$2:$C$15,A9,Notas!$A$2:$A$15,"Crédito")</f>
        <v/>
      </c>
      <c r="H9" s="31">
        <f>SUMIFS(Notas!$F$2:$F$15,Notas!$C$2:$C$15,A9,Notas!$A$2:$A$15,"Débito")</f>
        <v/>
      </c>
      <c r="I9" s="31">
        <f>SUMIFS(Aplicacion!$E$2:$E$41,Aplicacion!$B$2:$B$41,A9)</f>
        <v/>
      </c>
      <c r="J9" s="31">
        <f>F9-G9+H9-I9</f>
        <v/>
      </c>
      <c r="K9" s="32">
        <f>MAX(0,Inicio!$B$4-E9)</f>
        <v/>
      </c>
      <c r="L9" s="5">
        <f>IF(J9&lt;=0,"Pagada",IF(K9=0,"Vigente","Vencida"))</f>
        <v/>
      </c>
      <c r="M9" s="5">
        <f>IF(J9&lt;=0,"Pagada",IF(K9=0,"Vigente",IF(K9&lt;=30,"0-30",IF(K9&lt;=60,"31-60",IF(K9&lt;=90,"61-90","&gt;90")))))</f>
        <v/>
      </c>
    </row>
    <row r="10">
      <c r="A10" s="5" t="inlineStr">
        <is>
          <t>FV-2026-009</t>
        </is>
      </c>
      <c r="B10" s="5" t="inlineStr">
        <is>
          <t>C009</t>
        </is>
      </c>
      <c r="C10" s="5">
        <f>IFERROR(INDEX(Clientes!$B$2:$B$21,MATCH(B10,Clientes!$A$2:$A$21,0)),"")</f>
        <v/>
      </c>
      <c r="D10" s="30" t="n">
        <v>46270</v>
      </c>
      <c r="E10" s="30" t="n">
        <v>46315</v>
      </c>
      <c r="F10" s="31" t="n">
        <v>4531000</v>
      </c>
      <c r="G10" s="31">
        <f>SUMIFS(Notas!$F$2:$F$15,Notas!$C$2:$C$15,A10,Notas!$A$2:$A$15,"Crédito")</f>
        <v/>
      </c>
      <c r="H10" s="31">
        <f>SUMIFS(Notas!$F$2:$F$15,Notas!$C$2:$C$15,A10,Notas!$A$2:$A$15,"Débito")</f>
        <v/>
      </c>
      <c r="I10" s="31">
        <f>SUMIFS(Aplicacion!$E$2:$E$41,Aplicacion!$B$2:$B$41,A10)</f>
        <v/>
      </c>
      <c r="J10" s="31">
        <f>F10-G10+H10-I10</f>
        <v/>
      </c>
      <c r="K10" s="32">
        <f>MAX(0,Inicio!$B$4-E10)</f>
        <v/>
      </c>
      <c r="L10" s="5">
        <f>IF(J10&lt;=0,"Pagada",IF(K10=0,"Vigente","Vencida"))</f>
        <v/>
      </c>
      <c r="M10" s="5">
        <f>IF(J10&lt;=0,"Pagada",IF(K10=0,"Vigente",IF(K10&lt;=30,"0-30",IF(K10&lt;=60,"31-60",IF(K10&lt;=90,"61-90","&gt;90")))))</f>
        <v/>
      </c>
    </row>
    <row r="11">
      <c r="A11" s="5" t="inlineStr">
        <is>
          <t>FV-2026-010</t>
        </is>
      </c>
      <c r="B11" s="5" t="inlineStr">
        <is>
          <t>C010</t>
        </is>
      </c>
      <c r="C11" s="5">
        <f>IFERROR(INDEX(Clientes!$B$2:$B$21,MATCH(B11,Clientes!$A$2:$A$21,0)),"")</f>
        <v/>
      </c>
      <c r="D11" s="30" t="n">
        <v>46209</v>
      </c>
      <c r="E11" s="30" t="n">
        <v>46239</v>
      </c>
      <c r="F11" s="31" t="n">
        <v>5522000</v>
      </c>
      <c r="G11" s="31">
        <f>SUMIFS(Notas!$F$2:$F$15,Notas!$C$2:$C$15,A11,Notas!$A$2:$A$15,"Crédito")</f>
        <v/>
      </c>
      <c r="H11" s="31">
        <f>SUMIFS(Notas!$F$2:$F$15,Notas!$C$2:$C$15,A11,Notas!$A$2:$A$15,"Débito")</f>
        <v/>
      </c>
      <c r="I11" s="31">
        <f>SUMIFS(Aplicacion!$E$2:$E$41,Aplicacion!$B$2:$B$41,A11)</f>
        <v/>
      </c>
      <c r="J11" s="31">
        <f>F11-G11+H11-I11</f>
        <v/>
      </c>
      <c r="K11" s="32">
        <f>MAX(0,Inicio!$B$4-E11)</f>
        <v/>
      </c>
      <c r="L11" s="5">
        <f>IF(J11&lt;=0,"Pagada",IF(K11=0,"Vigente","Vencida"))</f>
        <v/>
      </c>
      <c r="M11" s="5">
        <f>IF(J11&lt;=0,"Pagada",IF(K11=0,"Vigente",IF(K11&lt;=30,"0-30",IF(K11&lt;=60,"31-60",IF(K11&lt;=90,"61-90","&gt;90")))))</f>
        <v/>
      </c>
    </row>
    <row r="12">
      <c r="A12" s="5" t="inlineStr">
        <is>
          <t>FV-2026-011</t>
        </is>
      </c>
      <c r="B12" s="5" t="inlineStr">
        <is>
          <t>C011</t>
        </is>
      </c>
      <c r="C12" s="5">
        <f>IFERROR(INDEX(Clientes!$B$2:$B$21,MATCH(B12,Clientes!$A$2:$A$21,0)),"")</f>
        <v/>
      </c>
      <c r="D12" s="30" t="n">
        <v>46216</v>
      </c>
      <c r="E12" s="30" t="n">
        <v>46246</v>
      </c>
      <c r="F12" s="31" t="n">
        <v>7083000</v>
      </c>
      <c r="G12" s="31">
        <f>SUMIFS(Notas!$F$2:$F$15,Notas!$C$2:$C$15,A12,Notas!$A$2:$A$15,"Crédito")</f>
        <v/>
      </c>
      <c r="H12" s="31">
        <f>SUMIFS(Notas!$F$2:$F$15,Notas!$C$2:$C$15,A12,Notas!$A$2:$A$15,"Débito")</f>
        <v/>
      </c>
      <c r="I12" s="31">
        <f>SUMIFS(Aplicacion!$E$2:$E$41,Aplicacion!$B$2:$B$41,A12)</f>
        <v/>
      </c>
      <c r="J12" s="31">
        <f>F12-G12+H12-I12</f>
        <v/>
      </c>
      <c r="K12" s="32">
        <f>MAX(0,Inicio!$B$4-E12)</f>
        <v/>
      </c>
      <c r="L12" s="5">
        <f>IF(J12&lt;=0,"Pagada",IF(K12=0,"Vigente","Vencida"))</f>
        <v/>
      </c>
      <c r="M12" s="5">
        <f>IF(J12&lt;=0,"Pagada",IF(K12=0,"Vigente",IF(K12&lt;=30,"0-30",IF(K12&lt;=60,"31-60",IF(K12&lt;=90,"61-90","&gt;90")))))</f>
        <v/>
      </c>
    </row>
    <row r="13">
      <c r="A13" s="5" t="inlineStr">
        <is>
          <t>FV-2026-012</t>
        </is>
      </c>
      <c r="B13" s="5" t="inlineStr">
        <is>
          <t>C012</t>
        </is>
      </c>
      <c r="C13" s="5">
        <f>IFERROR(INDEX(Clientes!$B$2:$B$21,MATCH(B13,Clientes!$A$2:$A$21,0)),"")</f>
        <v/>
      </c>
      <c r="D13" s="30" t="n">
        <v>46114</v>
      </c>
      <c r="E13" s="30" t="n">
        <v>46129</v>
      </c>
      <c r="F13" s="31" t="n">
        <v>4340000</v>
      </c>
      <c r="G13" s="31">
        <f>SUMIFS(Notas!$F$2:$F$15,Notas!$C$2:$C$15,A13,Notas!$A$2:$A$15,"Crédito")</f>
        <v/>
      </c>
      <c r="H13" s="31">
        <f>SUMIFS(Notas!$F$2:$F$15,Notas!$C$2:$C$15,A13,Notas!$A$2:$A$15,"Débito")</f>
        <v/>
      </c>
      <c r="I13" s="31">
        <f>SUMIFS(Aplicacion!$E$2:$E$41,Aplicacion!$B$2:$B$41,A13)</f>
        <v/>
      </c>
      <c r="J13" s="31">
        <f>F13-G13+H13-I13</f>
        <v/>
      </c>
      <c r="K13" s="32">
        <f>MAX(0,Inicio!$B$4-E13)</f>
        <v/>
      </c>
      <c r="L13" s="5">
        <f>IF(J13&lt;=0,"Pagada",IF(K13=0,"Vigente","Vencida"))</f>
        <v/>
      </c>
      <c r="M13" s="5">
        <f>IF(J13&lt;=0,"Pagada",IF(K13=0,"Vigente",IF(K13&lt;=30,"0-30",IF(K13&lt;=60,"31-60",IF(K13&lt;=90,"61-90","&gt;90")))))</f>
        <v/>
      </c>
    </row>
    <row r="14">
      <c r="A14" s="5" t="inlineStr">
        <is>
          <t>FV-2026-013</t>
        </is>
      </c>
      <c r="B14" s="5" t="inlineStr">
        <is>
          <t>C013</t>
        </is>
      </c>
      <c r="C14" s="5">
        <f>IFERROR(INDEX(Clientes!$B$2:$B$21,MATCH(B14,Clientes!$A$2:$A$21,0)),"")</f>
        <v/>
      </c>
      <c r="D14" s="30" t="n">
        <v>46244</v>
      </c>
      <c r="E14" s="30" t="n">
        <v>46304</v>
      </c>
      <c r="F14" s="31" t="n">
        <v>6368000</v>
      </c>
      <c r="G14" s="31">
        <f>SUMIFS(Notas!$F$2:$F$15,Notas!$C$2:$C$15,A14,Notas!$A$2:$A$15,"Crédito")</f>
        <v/>
      </c>
      <c r="H14" s="31">
        <f>SUMIFS(Notas!$F$2:$F$15,Notas!$C$2:$C$15,A14,Notas!$A$2:$A$15,"Débito")</f>
        <v/>
      </c>
      <c r="I14" s="31">
        <f>SUMIFS(Aplicacion!$E$2:$E$41,Aplicacion!$B$2:$B$41,A14)</f>
        <v/>
      </c>
      <c r="J14" s="31">
        <f>F14-G14+H14-I14</f>
        <v/>
      </c>
      <c r="K14" s="32">
        <f>MAX(0,Inicio!$B$4-E14)</f>
        <v/>
      </c>
      <c r="L14" s="5">
        <f>IF(J14&lt;=0,"Pagada",IF(K14=0,"Vigente","Vencida"))</f>
        <v/>
      </c>
      <c r="M14" s="5">
        <f>IF(J14&lt;=0,"Pagada",IF(K14=0,"Vigente",IF(K14&lt;=30,"0-30",IF(K14&lt;=60,"31-60",IF(K14&lt;=90,"61-90","&gt;90")))))</f>
        <v/>
      </c>
    </row>
    <row r="15">
      <c r="A15" s="5" t="inlineStr">
        <is>
          <t>FV-2026-014</t>
        </is>
      </c>
      <c r="B15" s="5" t="inlineStr">
        <is>
          <t>C014</t>
        </is>
      </c>
      <c r="C15" s="5">
        <f>IFERROR(INDEX(Clientes!$B$2:$B$21,MATCH(B15,Clientes!$A$2:$A$21,0)),"")</f>
        <v/>
      </c>
      <c r="D15" s="30" t="n">
        <v>46164</v>
      </c>
      <c r="E15" s="30" t="n">
        <v>46209</v>
      </c>
      <c r="F15" s="31" t="n">
        <v>6008000</v>
      </c>
      <c r="G15" s="31">
        <f>SUMIFS(Notas!$F$2:$F$15,Notas!$C$2:$C$15,A15,Notas!$A$2:$A$15,"Crédito")</f>
        <v/>
      </c>
      <c r="H15" s="31">
        <f>SUMIFS(Notas!$F$2:$F$15,Notas!$C$2:$C$15,A15,Notas!$A$2:$A$15,"Débito")</f>
        <v/>
      </c>
      <c r="I15" s="31">
        <f>SUMIFS(Aplicacion!$E$2:$E$41,Aplicacion!$B$2:$B$41,A15)</f>
        <v/>
      </c>
      <c r="J15" s="31">
        <f>F15-G15+H15-I15</f>
        <v/>
      </c>
      <c r="K15" s="32">
        <f>MAX(0,Inicio!$B$4-E15)</f>
        <v/>
      </c>
      <c r="L15" s="5">
        <f>IF(J15&lt;=0,"Pagada",IF(K15=0,"Vigente","Vencida"))</f>
        <v/>
      </c>
      <c r="M15" s="5">
        <f>IF(J15&lt;=0,"Pagada",IF(K15=0,"Vigente",IF(K15&lt;=30,"0-30",IF(K15&lt;=60,"31-60",IF(K15&lt;=90,"61-90","&gt;90")))))</f>
        <v/>
      </c>
    </row>
    <row r="16">
      <c r="A16" s="5" t="inlineStr">
        <is>
          <t>FV-2026-015</t>
        </is>
      </c>
      <c r="B16" s="5" t="inlineStr">
        <is>
          <t>C015</t>
        </is>
      </c>
      <c r="C16" s="5">
        <f>IFERROR(INDEX(Clientes!$B$2:$B$21,MATCH(B16,Clientes!$A$2:$A$21,0)),"")</f>
        <v/>
      </c>
      <c r="D16" s="30" t="n">
        <v>46249</v>
      </c>
      <c r="E16" s="30" t="n">
        <v>46279</v>
      </c>
      <c r="F16" s="31" t="n">
        <v>6009000</v>
      </c>
      <c r="G16" s="31">
        <f>SUMIFS(Notas!$F$2:$F$15,Notas!$C$2:$C$15,A16,Notas!$A$2:$A$15,"Crédito")</f>
        <v/>
      </c>
      <c r="H16" s="31">
        <f>SUMIFS(Notas!$F$2:$F$15,Notas!$C$2:$C$15,A16,Notas!$A$2:$A$15,"Débito")</f>
        <v/>
      </c>
      <c r="I16" s="31">
        <f>SUMIFS(Aplicacion!$E$2:$E$41,Aplicacion!$B$2:$B$41,A16)</f>
        <v/>
      </c>
      <c r="J16" s="31">
        <f>F16-G16+H16-I16</f>
        <v/>
      </c>
      <c r="K16" s="32">
        <f>MAX(0,Inicio!$B$4-E16)</f>
        <v/>
      </c>
      <c r="L16" s="5">
        <f>IF(J16&lt;=0,"Pagada",IF(K16=0,"Vigente","Vencida"))</f>
        <v/>
      </c>
      <c r="M16" s="5">
        <f>IF(J16&lt;=0,"Pagada",IF(K16=0,"Vigente",IF(K16&lt;=30,"0-30",IF(K16&lt;=60,"31-60",IF(K16&lt;=90,"61-90","&gt;90")))))</f>
        <v/>
      </c>
    </row>
    <row r="17">
      <c r="A17" s="5" t="inlineStr">
        <is>
          <t>FV-2026-016</t>
        </is>
      </c>
      <c r="B17" s="5" t="inlineStr">
        <is>
          <t>C016</t>
        </is>
      </c>
      <c r="C17" s="5">
        <f>IFERROR(INDEX(Clientes!$B$2:$B$21,MATCH(B17,Clientes!$A$2:$A$21,0)),"")</f>
        <v/>
      </c>
      <c r="D17" s="30" t="n">
        <v>46202</v>
      </c>
      <c r="E17" s="30" t="n">
        <v>46232</v>
      </c>
      <c r="F17" s="31" t="n">
        <v>6191000</v>
      </c>
      <c r="G17" s="31">
        <f>SUMIFS(Notas!$F$2:$F$15,Notas!$C$2:$C$15,A17,Notas!$A$2:$A$15,"Crédito")</f>
        <v/>
      </c>
      <c r="H17" s="31">
        <f>SUMIFS(Notas!$F$2:$F$15,Notas!$C$2:$C$15,A17,Notas!$A$2:$A$15,"Débito")</f>
        <v/>
      </c>
      <c r="I17" s="31">
        <f>SUMIFS(Aplicacion!$E$2:$E$41,Aplicacion!$B$2:$B$41,A17)</f>
        <v/>
      </c>
      <c r="J17" s="31">
        <f>F17-G17+H17-I17</f>
        <v/>
      </c>
      <c r="K17" s="32">
        <f>MAX(0,Inicio!$B$4-E17)</f>
        <v/>
      </c>
      <c r="L17" s="5">
        <f>IF(J17&lt;=0,"Pagada",IF(K17=0,"Vigente","Vencida"))</f>
        <v/>
      </c>
      <c r="M17" s="5">
        <f>IF(J17&lt;=0,"Pagada",IF(K17=0,"Vigente",IF(K17&lt;=30,"0-30",IF(K17&lt;=60,"31-60",IF(K17&lt;=90,"61-90","&gt;90")))))</f>
        <v/>
      </c>
    </row>
    <row r="18">
      <c r="A18" s="5" t="inlineStr">
        <is>
          <t>FV-2026-017</t>
        </is>
      </c>
      <c r="B18" s="5" t="inlineStr">
        <is>
          <t>C017</t>
        </is>
      </c>
      <c r="C18" s="5">
        <f>IFERROR(INDEX(Clientes!$B$2:$B$21,MATCH(B18,Clientes!$A$2:$A$21,0)),"")</f>
        <v/>
      </c>
      <c r="D18" s="30" t="n">
        <v>46248</v>
      </c>
      <c r="E18" s="30" t="n">
        <v>46293</v>
      </c>
      <c r="F18" s="31" t="n">
        <v>2739000</v>
      </c>
      <c r="G18" s="31">
        <f>SUMIFS(Notas!$F$2:$F$15,Notas!$C$2:$C$15,A18,Notas!$A$2:$A$15,"Crédito")</f>
        <v/>
      </c>
      <c r="H18" s="31">
        <f>SUMIFS(Notas!$F$2:$F$15,Notas!$C$2:$C$15,A18,Notas!$A$2:$A$15,"Débito")</f>
        <v/>
      </c>
      <c r="I18" s="31">
        <f>SUMIFS(Aplicacion!$E$2:$E$41,Aplicacion!$B$2:$B$41,A18)</f>
        <v/>
      </c>
      <c r="J18" s="31">
        <f>F18-G18+H18-I18</f>
        <v/>
      </c>
      <c r="K18" s="32">
        <f>MAX(0,Inicio!$B$4-E18)</f>
        <v/>
      </c>
      <c r="L18" s="5">
        <f>IF(J18&lt;=0,"Pagada",IF(K18=0,"Vigente","Vencida"))</f>
        <v/>
      </c>
      <c r="M18" s="5">
        <f>IF(J18&lt;=0,"Pagada",IF(K18=0,"Vigente",IF(K18&lt;=30,"0-30",IF(K18&lt;=60,"31-60",IF(K18&lt;=90,"61-90","&gt;90")))))</f>
        <v/>
      </c>
    </row>
    <row r="19">
      <c r="A19" s="5" t="inlineStr">
        <is>
          <t>FV-2026-018</t>
        </is>
      </c>
      <c r="B19" s="5" t="inlineStr">
        <is>
          <t>C018</t>
        </is>
      </c>
      <c r="C19" s="5">
        <f>IFERROR(INDEX(Clientes!$B$2:$B$21,MATCH(B19,Clientes!$A$2:$A$21,0)),"")</f>
        <v/>
      </c>
      <c r="D19" s="30" t="n">
        <v>46159</v>
      </c>
      <c r="E19" s="30" t="n">
        <v>46174</v>
      </c>
      <c r="F19" s="31" t="n">
        <v>7303000</v>
      </c>
      <c r="G19" s="31">
        <f>SUMIFS(Notas!$F$2:$F$15,Notas!$C$2:$C$15,A19,Notas!$A$2:$A$15,"Crédito")</f>
        <v/>
      </c>
      <c r="H19" s="31">
        <f>SUMIFS(Notas!$F$2:$F$15,Notas!$C$2:$C$15,A19,Notas!$A$2:$A$15,"Débito")</f>
        <v/>
      </c>
      <c r="I19" s="31">
        <f>SUMIFS(Aplicacion!$E$2:$E$41,Aplicacion!$B$2:$B$41,A19)</f>
        <v/>
      </c>
      <c r="J19" s="31">
        <f>F19-G19+H19-I19</f>
        <v/>
      </c>
      <c r="K19" s="32">
        <f>MAX(0,Inicio!$B$4-E19)</f>
        <v/>
      </c>
      <c r="L19" s="5">
        <f>IF(J19&lt;=0,"Pagada",IF(K19=0,"Vigente","Vencida"))</f>
        <v/>
      </c>
      <c r="M19" s="5">
        <f>IF(J19&lt;=0,"Pagada",IF(K19=0,"Vigente",IF(K19&lt;=30,"0-30",IF(K19&lt;=60,"31-60",IF(K19&lt;=90,"61-90","&gt;90")))))</f>
        <v/>
      </c>
    </row>
    <row r="20">
      <c r="A20" s="5" t="inlineStr">
        <is>
          <t>FV-2026-019</t>
        </is>
      </c>
      <c r="B20" s="5" t="inlineStr">
        <is>
          <t>C019</t>
        </is>
      </c>
      <c r="C20" s="5">
        <f>IFERROR(INDEX(Clientes!$B$2:$B$21,MATCH(B20,Clientes!$A$2:$A$21,0)),"")</f>
        <v/>
      </c>
      <c r="D20" s="30" t="n">
        <v>46123</v>
      </c>
      <c r="E20" s="30" t="n">
        <v>46153</v>
      </c>
      <c r="F20" s="31" t="n">
        <v>4253000</v>
      </c>
      <c r="G20" s="31">
        <f>SUMIFS(Notas!$F$2:$F$15,Notas!$C$2:$C$15,A20,Notas!$A$2:$A$15,"Crédito")</f>
        <v/>
      </c>
      <c r="H20" s="31">
        <f>SUMIFS(Notas!$F$2:$F$15,Notas!$C$2:$C$15,A20,Notas!$A$2:$A$15,"Débito")</f>
        <v/>
      </c>
      <c r="I20" s="31">
        <f>SUMIFS(Aplicacion!$E$2:$E$41,Aplicacion!$B$2:$B$41,A20)</f>
        <v/>
      </c>
      <c r="J20" s="31">
        <f>F20-G20+H20-I20</f>
        <v/>
      </c>
      <c r="K20" s="32">
        <f>MAX(0,Inicio!$B$4-E20)</f>
        <v/>
      </c>
      <c r="L20" s="5">
        <f>IF(J20&lt;=0,"Pagada",IF(K20=0,"Vigente","Vencida"))</f>
        <v/>
      </c>
      <c r="M20" s="5">
        <f>IF(J20&lt;=0,"Pagada",IF(K20=0,"Vigente",IF(K20&lt;=30,"0-30",IF(K20&lt;=60,"31-60",IF(K20&lt;=90,"61-90","&gt;90")))))</f>
        <v/>
      </c>
    </row>
    <row r="21">
      <c r="A21" s="5" t="inlineStr">
        <is>
          <t>FV-2026-020</t>
        </is>
      </c>
      <c r="B21" s="5" t="inlineStr">
        <is>
          <t>C020</t>
        </is>
      </c>
      <c r="C21" s="5">
        <f>IFERROR(INDEX(Clientes!$B$2:$B$21,MATCH(B21,Clientes!$A$2:$A$21,0)),"")</f>
        <v/>
      </c>
      <c r="D21" s="30" t="n">
        <v>46259</v>
      </c>
      <c r="E21" s="30" t="n">
        <v>46289</v>
      </c>
      <c r="F21" s="31" t="n">
        <v>4530000</v>
      </c>
      <c r="G21" s="31">
        <f>SUMIFS(Notas!$F$2:$F$15,Notas!$C$2:$C$15,A21,Notas!$A$2:$A$15,"Crédito")</f>
        <v/>
      </c>
      <c r="H21" s="31">
        <f>SUMIFS(Notas!$F$2:$F$15,Notas!$C$2:$C$15,A21,Notas!$A$2:$A$15,"Débito")</f>
        <v/>
      </c>
      <c r="I21" s="31">
        <f>SUMIFS(Aplicacion!$E$2:$E$41,Aplicacion!$B$2:$B$41,A21)</f>
        <v/>
      </c>
      <c r="J21" s="31">
        <f>F21-G21+H21-I21</f>
        <v/>
      </c>
      <c r="K21" s="32">
        <f>MAX(0,Inicio!$B$4-E21)</f>
        <v/>
      </c>
      <c r="L21" s="5">
        <f>IF(J21&lt;=0,"Pagada",IF(K21=0,"Vigente","Vencida"))</f>
        <v/>
      </c>
      <c r="M21" s="5">
        <f>IF(J21&lt;=0,"Pagada",IF(K21=0,"Vigente",IF(K21&lt;=30,"0-30",IF(K21&lt;=60,"31-60",IF(K21&lt;=90,"61-90","&gt;90")))))</f>
        <v/>
      </c>
    </row>
    <row r="22">
      <c r="A22" s="5" t="inlineStr">
        <is>
          <t>FV-2026-021</t>
        </is>
      </c>
      <c r="B22" s="5" t="inlineStr">
        <is>
          <t>C001</t>
        </is>
      </c>
      <c r="C22" s="5">
        <f>IFERROR(INDEX(Clientes!$B$2:$B$21,MATCH(B22,Clientes!$A$2:$A$21,0)),"")</f>
        <v/>
      </c>
      <c r="D22" s="30" t="n">
        <v>46248</v>
      </c>
      <c r="E22" s="30" t="n">
        <v>46278</v>
      </c>
      <c r="F22" s="31" t="n">
        <v>3091000</v>
      </c>
      <c r="G22" s="31">
        <f>SUMIFS(Notas!$F$2:$F$15,Notas!$C$2:$C$15,A22,Notas!$A$2:$A$15,"Crédito")</f>
        <v/>
      </c>
      <c r="H22" s="31">
        <f>SUMIFS(Notas!$F$2:$F$15,Notas!$C$2:$C$15,A22,Notas!$A$2:$A$15,"Débito")</f>
        <v/>
      </c>
      <c r="I22" s="31">
        <f>SUMIFS(Aplicacion!$E$2:$E$41,Aplicacion!$B$2:$B$41,A22)</f>
        <v/>
      </c>
      <c r="J22" s="31">
        <f>F22-G22+H22-I22</f>
        <v/>
      </c>
      <c r="K22" s="32">
        <f>MAX(0,Inicio!$B$4-E22)</f>
        <v/>
      </c>
      <c r="L22" s="5">
        <f>IF(J22&lt;=0,"Pagada",IF(K22=0,"Vigente","Vencida"))</f>
        <v/>
      </c>
      <c r="M22" s="5">
        <f>IF(J22&lt;=0,"Pagada",IF(K22=0,"Vigente",IF(K22&lt;=30,"0-30",IF(K22&lt;=60,"31-60",IF(K22&lt;=90,"61-90","&gt;90")))))</f>
        <v/>
      </c>
    </row>
    <row r="23">
      <c r="A23" s="5" t="inlineStr">
        <is>
          <t>FV-2026-022</t>
        </is>
      </c>
      <c r="B23" s="5" t="inlineStr">
        <is>
          <t>C007</t>
        </is>
      </c>
      <c r="C23" s="5">
        <f>IFERROR(INDEX(Clientes!$B$2:$B$21,MATCH(B23,Clientes!$A$2:$A$21,0)),"")</f>
        <v/>
      </c>
      <c r="D23" s="30" t="n">
        <v>46200</v>
      </c>
      <c r="E23" s="30" t="n">
        <v>46245</v>
      </c>
      <c r="F23" s="31" t="n">
        <v>5361000</v>
      </c>
      <c r="G23" s="31">
        <f>SUMIFS(Notas!$F$2:$F$15,Notas!$C$2:$C$15,A23,Notas!$A$2:$A$15,"Crédito")</f>
        <v/>
      </c>
      <c r="H23" s="31">
        <f>SUMIFS(Notas!$F$2:$F$15,Notas!$C$2:$C$15,A23,Notas!$A$2:$A$15,"Débito")</f>
        <v/>
      </c>
      <c r="I23" s="31">
        <f>SUMIFS(Aplicacion!$E$2:$E$41,Aplicacion!$B$2:$B$41,A23)</f>
        <v/>
      </c>
      <c r="J23" s="31">
        <f>F23-G23+H23-I23</f>
        <v/>
      </c>
      <c r="K23" s="32">
        <f>MAX(0,Inicio!$B$4-E23)</f>
        <v/>
      </c>
      <c r="L23" s="5">
        <f>IF(J23&lt;=0,"Pagada",IF(K23=0,"Vigente","Vencida"))</f>
        <v/>
      </c>
      <c r="M23" s="5">
        <f>IF(J23&lt;=0,"Pagada",IF(K23=0,"Vigente",IF(K23&lt;=30,"0-30",IF(K23&lt;=60,"31-60",IF(K23&lt;=90,"61-90","&gt;90")))))</f>
        <v/>
      </c>
    </row>
    <row r="24">
      <c r="A24" s="5" t="inlineStr">
        <is>
          <t>FV-2026-023</t>
        </is>
      </c>
      <c r="B24" s="5" t="inlineStr">
        <is>
          <t>C006</t>
        </is>
      </c>
      <c r="C24" s="5">
        <f>IFERROR(INDEX(Clientes!$B$2:$B$21,MATCH(B24,Clientes!$A$2:$A$21,0)),"")</f>
        <v/>
      </c>
      <c r="D24" s="30" t="n">
        <v>46130</v>
      </c>
      <c r="E24" s="30" t="n">
        <v>46190</v>
      </c>
      <c r="F24" s="31" t="n">
        <v>1756000</v>
      </c>
      <c r="G24" s="31">
        <f>SUMIFS(Notas!$F$2:$F$15,Notas!$C$2:$C$15,A24,Notas!$A$2:$A$15,"Crédito")</f>
        <v/>
      </c>
      <c r="H24" s="31">
        <f>SUMIFS(Notas!$F$2:$F$15,Notas!$C$2:$C$15,A24,Notas!$A$2:$A$15,"Débito")</f>
        <v/>
      </c>
      <c r="I24" s="31">
        <f>SUMIFS(Aplicacion!$E$2:$E$41,Aplicacion!$B$2:$B$41,A24)</f>
        <v/>
      </c>
      <c r="J24" s="31">
        <f>F24-G24+H24-I24</f>
        <v/>
      </c>
      <c r="K24" s="32">
        <f>MAX(0,Inicio!$B$4-E24)</f>
        <v/>
      </c>
      <c r="L24" s="5">
        <f>IF(J24&lt;=0,"Pagada",IF(K24=0,"Vigente","Vencida"))</f>
        <v/>
      </c>
      <c r="M24" s="5">
        <f>IF(J24&lt;=0,"Pagada",IF(K24=0,"Vigente",IF(K24&lt;=30,"0-30",IF(K24&lt;=60,"31-60",IF(K24&lt;=90,"61-90","&gt;90")))))</f>
        <v/>
      </c>
    </row>
    <row r="25">
      <c r="A25" s="5" t="inlineStr">
        <is>
          <t>FV-2026-024</t>
        </is>
      </c>
      <c r="B25" s="5" t="inlineStr">
        <is>
          <t>C009</t>
        </is>
      </c>
      <c r="C25" s="5">
        <f>IFERROR(INDEX(Clientes!$B$2:$B$21,MATCH(B25,Clientes!$A$2:$A$21,0)),"")</f>
        <v/>
      </c>
      <c r="D25" s="30" t="n">
        <v>46224</v>
      </c>
      <c r="E25" s="30" t="n">
        <v>46269</v>
      </c>
      <c r="F25" s="31" t="n">
        <v>6668000</v>
      </c>
      <c r="G25" s="31">
        <f>SUMIFS(Notas!$F$2:$F$15,Notas!$C$2:$C$15,A25,Notas!$A$2:$A$15,"Crédito")</f>
        <v/>
      </c>
      <c r="H25" s="31">
        <f>SUMIFS(Notas!$F$2:$F$15,Notas!$C$2:$C$15,A25,Notas!$A$2:$A$15,"Débito")</f>
        <v/>
      </c>
      <c r="I25" s="31">
        <f>SUMIFS(Aplicacion!$E$2:$E$41,Aplicacion!$B$2:$B$41,A25)</f>
        <v/>
      </c>
      <c r="J25" s="31">
        <f>F25-G25+H25-I25</f>
        <v/>
      </c>
      <c r="K25" s="32">
        <f>MAX(0,Inicio!$B$4-E25)</f>
        <v/>
      </c>
      <c r="L25" s="5">
        <f>IF(J25&lt;=0,"Pagada",IF(K25=0,"Vigente","Vencida"))</f>
        <v/>
      </c>
      <c r="M25" s="5">
        <f>IF(J25&lt;=0,"Pagada",IF(K25=0,"Vigente",IF(K25&lt;=30,"0-30",IF(K25&lt;=60,"31-60",IF(K25&lt;=90,"61-90","&gt;90")))))</f>
        <v/>
      </c>
    </row>
    <row r="26">
      <c r="A26" s="5" t="inlineStr">
        <is>
          <t>FV-2026-025</t>
        </is>
      </c>
      <c r="B26" s="5" t="inlineStr">
        <is>
          <t>C011</t>
        </is>
      </c>
      <c r="C26" s="5">
        <f>IFERROR(INDEX(Clientes!$B$2:$B$21,MATCH(B26,Clientes!$A$2:$A$21,0)),"")</f>
        <v/>
      </c>
      <c r="D26" s="30" t="n">
        <v>46235</v>
      </c>
      <c r="E26" s="30" t="n">
        <v>46265</v>
      </c>
      <c r="F26" s="31" t="n">
        <v>5242000</v>
      </c>
      <c r="G26" s="31">
        <f>SUMIFS(Notas!$F$2:$F$15,Notas!$C$2:$C$15,A26,Notas!$A$2:$A$15,"Crédito")</f>
        <v/>
      </c>
      <c r="H26" s="31">
        <f>SUMIFS(Notas!$F$2:$F$15,Notas!$C$2:$C$15,A26,Notas!$A$2:$A$15,"Débito")</f>
        <v/>
      </c>
      <c r="I26" s="31">
        <f>SUMIFS(Aplicacion!$E$2:$E$41,Aplicacion!$B$2:$B$41,A26)</f>
        <v/>
      </c>
      <c r="J26" s="31">
        <f>F26-G26+H26-I26</f>
        <v/>
      </c>
      <c r="K26" s="32">
        <f>MAX(0,Inicio!$B$4-E26)</f>
        <v/>
      </c>
      <c r="L26" s="5">
        <f>IF(J26&lt;=0,"Pagada",IF(K26=0,"Vigente","Vencida"))</f>
        <v/>
      </c>
      <c r="M26" s="5">
        <f>IF(J26&lt;=0,"Pagada",IF(K26=0,"Vigente",IF(K26&lt;=30,"0-30",IF(K26&lt;=60,"31-60",IF(K26&lt;=90,"61-90","&gt;90")))))</f>
        <v/>
      </c>
    </row>
    <row r="27">
      <c r="A27" s="5" t="inlineStr">
        <is>
          <t>FV-2026-026</t>
        </is>
      </c>
      <c r="B27" s="5" t="inlineStr">
        <is>
          <t>C010</t>
        </is>
      </c>
      <c r="C27" s="5">
        <f>IFERROR(INDEX(Clientes!$B$2:$B$21,MATCH(B27,Clientes!$A$2:$A$21,0)),"")</f>
        <v/>
      </c>
      <c r="D27" s="30" t="n">
        <v>46179</v>
      </c>
      <c r="E27" s="30" t="n">
        <v>46209</v>
      </c>
      <c r="F27" s="31" t="n">
        <v>5628000</v>
      </c>
      <c r="G27" s="31">
        <f>SUMIFS(Notas!$F$2:$F$15,Notas!$C$2:$C$15,A27,Notas!$A$2:$A$15,"Crédito")</f>
        <v/>
      </c>
      <c r="H27" s="31">
        <f>SUMIFS(Notas!$F$2:$F$15,Notas!$C$2:$C$15,A27,Notas!$A$2:$A$15,"Débito")</f>
        <v/>
      </c>
      <c r="I27" s="31">
        <f>SUMIFS(Aplicacion!$E$2:$E$41,Aplicacion!$B$2:$B$41,A27)</f>
        <v/>
      </c>
      <c r="J27" s="31">
        <f>F27-G27+H27-I27</f>
        <v/>
      </c>
      <c r="K27" s="32">
        <f>MAX(0,Inicio!$B$4-E27)</f>
        <v/>
      </c>
      <c r="L27" s="5">
        <f>IF(J27&lt;=0,"Pagada",IF(K27=0,"Vigente","Vencida"))</f>
        <v/>
      </c>
      <c r="M27" s="5">
        <f>IF(J27&lt;=0,"Pagada",IF(K27=0,"Vigente",IF(K27&lt;=30,"0-30",IF(K27&lt;=60,"31-60",IF(K27&lt;=90,"61-90","&gt;90")))))</f>
        <v/>
      </c>
    </row>
    <row r="28">
      <c r="A28" s="5" t="inlineStr">
        <is>
          <t>FV-2026-027</t>
        </is>
      </c>
      <c r="B28" s="5" t="inlineStr">
        <is>
          <t>C002</t>
        </is>
      </c>
      <c r="C28" s="5">
        <f>IFERROR(INDEX(Clientes!$B$2:$B$21,MATCH(B28,Clientes!$A$2:$A$21,0)),"")</f>
        <v/>
      </c>
      <c r="D28" s="30" t="n">
        <v>46186</v>
      </c>
      <c r="E28" s="30" t="n">
        <v>46216</v>
      </c>
      <c r="F28" s="31" t="n">
        <v>1966000</v>
      </c>
      <c r="G28" s="31">
        <f>SUMIFS(Notas!$F$2:$F$15,Notas!$C$2:$C$15,A28,Notas!$A$2:$A$15,"Crédito")</f>
        <v/>
      </c>
      <c r="H28" s="31">
        <f>SUMIFS(Notas!$F$2:$F$15,Notas!$C$2:$C$15,A28,Notas!$A$2:$A$15,"Débito")</f>
        <v/>
      </c>
      <c r="I28" s="31">
        <f>SUMIFS(Aplicacion!$E$2:$E$41,Aplicacion!$B$2:$B$41,A28)</f>
        <v/>
      </c>
      <c r="J28" s="31">
        <f>F28-G28+H28-I28</f>
        <v/>
      </c>
      <c r="K28" s="32">
        <f>MAX(0,Inicio!$B$4-E28)</f>
        <v/>
      </c>
      <c r="L28" s="5">
        <f>IF(J28&lt;=0,"Pagada",IF(K28=0,"Vigente","Vencida"))</f>
        <v/>
      </c>
      <c r="M28" s="5">
        <f>IF(J28&lt;=0,"Pagada",IF(K28=0,"Vigente",IF(K28&lt;=30,"0-30",IF(K28&lt;=60,"31-60",IF(K28&lt;=90,"61-90","&gt;90")))))</f>
        <v/>
      </c>
    </row>
    <row r="29">
      <c r="A29" s="5" t="inlineStr">
        <is>
          <t>FV-2026-028</t>
        </is>
      </c>
      <c r="B29" s="5" t="inlineStr">
        <is>
          <t>C013</t>
        </is>
      </c>
      <c r="C29" s="5">
        <f>IFERROR(INDEX(Clientes!$B$2:$B$21,MATCH(B29,Clientes!$A$2:$A$21,0)),"")</f>
        <v/>
      </c>
      <c r="D29" s="30" t="n">
        <v>46218</v>
      </c>
      <c r="E29" s="30" t="n">
        <v>46278</v>
      </c>
      <c r="F29" s="31" t="n">
        <v>5676000</v>
      </c>
      <c r="G29" s="31">
        <f>SUMIFS(Notas!$F$2:$F$15,Notas!$C$2:$C$15,A29,Notas!$A$2:$A$15,"Crédito")</f>
        <v/>
      </c>
      <c r="H29" s="31">
        <f>SUMIFS(Notas!$F$2:$F$15,Notas!$C$2:$C$15,A29,Notas!$A$2:$A$15,"Débito")</f>
        <v/>
      </c>
      <c r="I29" s="31">
        <f>SUMIFS(Aplicacion!$E$2:$E$41,Aplicacion!$B$2:$B$41,A29)</f>
        <v/>
      </c>
      <c r="J29" s="31">
        <f>F29-G29+H29-I29</f>
        <v/>
      </c>
      <c r="K29" s="32">
        <f>MAX(0,Inicio!$B$4-E29)</f>
        <v/>
      </c>
      <c r="L29" s="5">
        <f>IF(J29&lt;=0,"Pagada",IF(K29=0,"Vigente","Vencida"))</f>
        <v/>
      </c>
      <c r="M29" s="5">
        <f>IF(J29&lt;=0,"Pagada",IF(K29=0,"Vigente",IF(K29&lt;=30,"0-30",IF(K29&lt;=60,"31-60",IF(K29&lt;=90,"61-90","&gt;90")))))</f>
        <v/>
      </c>
    </row>
    <row r="30">
      <c r="A30" s="5" t="inlineStr">
        <is>
          <t>FV-2026-029</t>
        </is>
      </c>
      <c r="B30" s="5" t="inlineStr">
        <is>
          <t>C002</t>
        </is>
      </c>
      <c r="C30" s="5">
        <f>IFERROR(INDEX(Clientes!$B$2:$B$21,MATCH(B30,Clientes!$A$2:$A$21,0)),"")</f>
        <v/>
      </c>
      <c r="D30" s="30" t="n">
        <v>46183</v>
      </c>
      <c r="E30" s="30" t="n">
        <v>46213</v>
      </c>
      <c r="F30" s="31" t="n">
        <v>1317000</v>
      </c>
      <c r="G30" s="31">
        <f>SUMIFS(Notas!$F$2:$F$15,Notas!$C$2:$C$15,A30,Notas!$A$2:$A$15,"Crédito")</f>
        <v/>
      </c>
      <c r="H30" s="31">
        <f>SUMIFS(Notas!$F$2:$F$15,Notas!$C$2:$C$15,A30,Notas!$A$2:$A$15,"Débito")</f>
        <v/>
      </c>
      <c r="I30" s="31">
        <f>SUMIFS(Aplicacion!$E$2:$E$41,Aplicacion!$B$2:$B$41,A30)</f>
        <v/>
      </c>
      <c r="J30" s="31">
        <f>F30-G30+H30-I30</f>
        <v/>
      </c>
      <c r="K30" s="32">
        <f>MAX(0,Inicio!$B$4-E30)</f>
        <v/>
      </c>
      <c r="L30" s="5">
        <f>IF(J30&lt;=0,"Pagada",IF(K30=0,"Vigente","Vencida"))</f>
        <v/>
      </c>
      <c r="M30" s="5">
        <f>IF(J30&lt;=0,"Pagada",IF(K30=0,"Vigente",IF(K30&lt;=30,"0-30",IF(K30&lt;=60,"31-60",IF(K30&lt;=90,"61-90","&gt;90")))))</f>
        <v/>
      </c>
    </row>
    <row r="31">
      <c r="A31" s="5" t="inlineStr">
        <is>
          <t>FV-2026-030</t>
        </is>
      </c>
      <c r="B31" s="5" t="inlineStr">
        <is>
          <t>C012</t>
        </is>
      </c>
      <c r="C31" s="5">
        <f>IFERROR(INDEX(Clientes!$B$2:$B$21,MATCH(B31,Clientes!$A$2:$A$21,0)),"")</f>
        <v/>
      </c>
      <c r="D31" s="30" t="n">
        <v>46116</v>
      </c>
      <c r="E31" s="30" t="n">
        <v>46131</v>
      </c>
      <c r="F31" s="31" t="n">
        <v>7381000</v>
      </c>
      <c r="G31" s="31">
        <f>SUMIFS(Notas!$F$2:$F$15,Notas!$C$2:$C$15,A31,Notas!$A$2:$A$15,"Crédito")</f>
        <v/>
      </c>
      <c r="H31" s="31">
        <f>SUMIFS(Notas!$F$2:$F$15,Notas!$C$2:$C$15,A31,Notas!$A$2:$A$15,"Débito")</f>
        <v/>
      </c>
      <c r="I31" s="31">
        <f>SUMIFS(Aplicacion!$E$2:$E$41,Aplicacion!$B$2:$B$41,A31)</f>
        <v/>
      </c>
      <c r="J31" s="31">
        <f>F31-G31+H31-I31</f>
        <v/>
      </c>
      <c r="K31" s="32">
        <f>MAX(0,Inicio!$B$4-E31)</f>
        <v/>
      </c>
      <c r="L31" s="5">
        <f>IF(J31&lt;=0,"Pagada",IF(K31=0,"Vigente","Vencida"))</f>
        <v/>
      </c>
      <c r="M31" s="5">
        <f>IF(J31&lt;=0,"Pagada",IF(K31=0,"Vigente",IF(K31&lt;=30,"0-30",IF(K31&lt;=60,"31-60",IF(K31&lt;=90,"61-90","&gt;90")))))</f>
        <v/>
      </c>
    </row>
    <row r="32">
      <c r="A32" s="5" t="inlineStr">
        <is>
          <t>FV-2026-031</t>
        </is>
      </c>
      <c r="B32" s="5" t="inlineStr">
        <is>
          <t>C007</t>
        </is>
      </c>
      <c r="C32" s="5">
        <f>IFERROR(INDEX(Clientes!$B$2:$B$21,MATCH(B32,Clientes!$A$2:$A$21,0)),"")</f>
        <v/>
      </c>
      <c r="D32" s="30" t="n">
        <v>46244</v>
      </c>
      <c r="E32" s="30" t="n">
        <v>46289</v>
      </c>
      <c r="F32" s="31" t="n">
        <v>7593000</v>
      </c>
      <c r="G32" s="31">
        <f>SUMIFS(Notas!$F$2:$F$15,Notas!$C$2:$C$15,A32,Notas!$A$2:$A$15,"Crédito")</f>
        <v/>
      </c>
      <c r="H32" s="31">
        <f>SUMIFS(Notas!$F$2:$F$15,Notas!$C$2:$C$15,A32,Notas!$A$2:$A$15,"Débito")</f>
        <v/>
      </c>
      <c r="I32" s="31">
        <f>SUMIFS(Aplicacion!$E$2:$E$41,Aplicacion!$B$2:$B$41,A32)</f>
        <v/>
      </c>
      <c r="J32" s="31">
        <f>F32-G32+H32-I32</f>
        <v/>
      </c>
      <c r="K32" s="32">
        <f>MAX(0,Inicio!$B$4-E32)</f>
        <v/>
      </c>
      <c r="L32" s="5">
        <f>IF(J32&lt;=0,"Pagada",IF(K32=0,"Vigente","Vencida"))</f>
        <v/>
      </c>
      <c r="M32" s="5">
        <f>IF(J32&lt;=0,"Pagada",IF(K32=0,"Vigente",IF(K32&lt;=30,"0-30",IF(K32&lt;=60,"31-60",IF(K32&lt;=90,"61-90","&gt;90")))))</f>
        <v/>
      </c>
    </row>
    <row r="33">
      <c r="A33" s="5" t="inlineStr">
        <is>
          <t>FV-2026-032</t>
        </is>
      </c>
      <c r="B33" s="5" t="inlineStr">
        <is>
          <t>C003</t>
        </is>
      </c>
      <c r="C33" s="5">
        <f>IFERROR(INDEX(Clientes!$B$2:$B$21,MATCH(B33,Clientes!$A$2:$A$21,0)),"")</f>
        <v/>
      </c>
      <c r="D33" s="30" t="n">
        <v>46212</v>
      </c>
      <c r="E33" s="30" t="n">
        <v>46257</v>
      </c>
      <c r="F33" s="31" t="n">
        <v>3487000</v>
      </c>
      <c r="G33" s="31">
        <f>SUMIFS(Notas!$F$2:$F$15,Notas!$C$2:$C$15,A33,Notas!$A$2:$A$15,"Crédito")</f>
        <v/>
      </c>
      <c r="H33" s="31">
        <f>SUMIFS(Notas!$F$2:$F$15,Notas!$C$2:$C$15,A33,Notas!$A$2:$A$15,"Débito")</f>
        <v/>
      </c>
      <c r="I33" s="31">
        <f>SUMIFS(Aplicacion!$E$2:$E$41,Aplicacion!$B$2:$B$41,A33)</f>
        <v/>
      </c>
      <c r="J33" s="31">
        <f>F33-G33+H33-I33</f>
        <v/>
      </c>
      <c r="K33" s="32">
        <f>MAX(0,Inicio!$B$4-E33)</f>
        <v/>
      </c>
      <c r="L33" s="5">
        <f>IF(J33&lt;=0,"Pagada",IF(K33=0,"Vigente","Vencida"))</f>
        <v/>
      </c>
      <c r="M33" s="5">
        <f>IF(J33&lt;=0,"Pagada",IF(K33=0,"Vigente",IF(K33&lt;=30,"0-30",IF(K33&lt;=60,"31-60",IF(K33&lt;=90,"61-90","&gt;90")))))</f>
        <v/>
      </c>
    </row>
    <row r="34">
      <c r="A34" s="5" t="inlineStr">
        <is>
          <t>FV-2026-033</t>
        </is>
      </c>
      <c r="B34" s="5" t="inlineStr">
        <is>
          <t>C014</t>
        </is>
      </c>
      <c r="C34" s="5">
        <f>IFERROR(INDEX(Clientes!$B$2:$B$21,MATCH(B34,Clientes!$A$2:$A$21,0)),"")</f>
        <v/>
      </c>
      <c r="D34" s="30" t="n">
        <v>46147</v>
      </c>
      <c r="E34" s="30" t="n">
        <v>46192</v>
      </c>
      <c r="F34" s="31" t="n">
        <v>6729000</v>
      </c>
      <c r="G34" s="31">
        <f>SUMIFS(Notas!$F$2:$F$15,Notas!$C$2:$C$15,A34,Notas!$A$2:$A$15,"Crédito")</f>
        <v/>
      </c>
      <c r="H34" s="31">
        <f>SUMIFS(Notas!$F$2:$F$15,Notas!$C$2:$C$15,A34,Notas!$A$2:$A$15,"Débito")</f>
        <v/>
      </c>
      <c r="I34" s="31">
        <f>SUMIFS(Aplicacion!$E$2:$E$41,Aplicacion!$B$2:$B$41,A34)</f>
        <v/>
      </c>
      <c r="J34" s="31">
        <f>F34-G34+H34-I34</f>
        <v/>
      </c>
      <c r="K34" s="32">
        <f>MAX(0,Inicio!$B$4-E34)</f>
        <v/>
      </c>
      <c r="L34" s="5">
        <f>IF(J34&lt;=0,"Pagada",IF(K34=0,"Vigente","Vencida"))</f>
        <v/>
      </c>
      <c r="M34" s="5">
        <f>IF(J34&lt;=0,"Pagada",IF(K34=0,"Vigente",IF(K34&lt;=30,"0-30",IF(K34&lt;=60,"31-60",IF(K34&lt;=90,"61-90","&gt;90")))))</f>
        <v/>
      </c>
    </row>
    <row r="35">
      <c r="A35" s="5" t="inlineStr">
        <is>
          <t>FV-2026-034</t>
        </is>
      </c>
      <c r="B35" s="5" t="inlineStr">
        <is>
          <t>C019</t>
        </is>
      </c>
      <c r="C35" s="5">
        <f>IFERROR(INDEX(Clientes!$B$2:$B$21,MATCH(B35,Clientes!$A$2:$A$21,0)),"")</f>
        <v/>
      </c>
      <c r="D35" s="30" t="n">
        <v>46126</v>
      </c>
      <c r="E35" s="30" t="n">
        <v>46156</v>
      </c>
      <c r="F35" s="31" t="n">
        <v>6455000</v>
      </c>
      <c r="G35" s="31">
        <f>SUMIFS(Notas!$F$2:$F$15,Notas!$C$2:$C$15,A35,Notas!$A$2:$A$15,"Crédito")</f>
        <v/>
      </c>
      <c r="H35" s="31">
        <f>SUMIFS(Notas!$F$2:$F$15,Notas!$C$2:$C$15,A35,Notas!$A$2:$A$15,"Débito")</f>
        <v/>
      </c>
      <c r="I35" s="31">
        <f>SUMIFS(Aplicacion!$E$2:$E$41,Aplicacion!$B$2:$B$41,A35)</f>
        <v/>
      </c>
      <c r="J35" s="31">
        <f>F35-G35+H35-I35</f>
        <v/>
      </c>
      <c r="K35" s="32">
        <f>MAX(0,Inicio!$B$4-E35)</f>
        <v/>
      </c>
      <c r="L35" s="5">
        <f>IF(J35&lt;=0,"Pagada",IF(K35=0,"Vigente","Vencida"))</f>
        <v/>
      </c>
      <c r="M35" s="5">
        <f>IF(J35&lt;=0,"Pagada",IF(K35=0,"Vigente",IF(K35&lt;=30,"0-30",IF(K35&lt;=60,"31-60",IF(K35&lt;=90,"61-90","&gt;90")))))</f>
        <v/>
      </c>
    </row>
    <row r="36">
      <c r="A36" s="5" t="inlineStr">
        <is>
          <t>FV-2026-035</t>
        </is>
      </c>
      <c r="B36" s="5" t="inlineStr">
        <is>
          <t>C012</t>
        </is>
      </c>
      <c r="C36" s="5">
        <f>IFERROR(INDEX(Clientes!$B$2:$B$21,MATCH(B36,Clientes!$A$2:$A$21,0)),"")</f>
        <v/>
      </c>
      <c r="D36" s="30" t="n">
        <v>46207</v>
      </c>
      <c r="E36" s="30" t="n">
        <v>46222</v>
      </c>
      <c r="F36" s="31" t="n">
        <v>3231000</v>
      </c>
      <c r="G36" s="31">
        <f>SUMIFS(Notas!$F$2:$F$15,Notas!$C$2:$C$15,A36,Notas!$A$2:$A$15,"Crédito")</f>
        <v/>
      </c>
      <c r="H36" s="31">
        <f>SUMIFS(Notas!$F$2:$F$15,Notas!$C$2:$C$15,A36,Notas!$A$2:$A$15,"Débito")</f>
        <v/>
      </c>
      <c r="I36" s="31">
        <f>SUMIFS(Aplicacion!$E$2:$E$41,Aplicacion!$B$2:$B$41,A36)</f>
        <v/>
      </c>
      <c r="J36" s="31">
        <f>F36-G36+H36-I36</f>
        <v/>
      </c>
      <c r="K36" s="32">
        <f>MAX(0,Inicio!$B$4-E36)</f>
        <v/>
      </c>
      <c r="L36" s="5">
        <f>IF(J36&lt;=0,"Pagada",IF(K36=0,"Vigente","Vencida"))</f>
        <v/>
      </c>
      <c r="M36" s="5">
        <f>IF(J36&lt;=0,"Pagada",IF(K36=0,"Vigente",IF(K36&lt;=30,"0-30",IF(K36&lt;=60,"31-60",IF(K36&lt;=90,"61-90","&gt;90")))))</f>
        <v/>
      </c>
    </row>
    <row r="37">
      <c r="A37" s="5" t="inlineStr">
        <is>
          <t>FV-2026-036</t>
        </is>
      </c>
      <c r="B37" s="5" t="inlineStr">
        <is>
          <t>C004</t>
        </is>
      </c>
      <c r="C37" s="5">
        <f>IFERROR(INDEX(Clientes!$B$2:$B$21,MATCH(B37,Clientes!$A$2:$A$21,0)),"")</f>
        <v/>
      </c>
      <c r="D37" s="30" t="n">
        <v>46179</v>
      </c>
      <c r="E37" s="30" t="n">
        <v>46209</v>
      </c>
      <c r="F37" s="31" t="n">
        <v>1247000</v>
      </c>
      <c r="G37" s="31">
        <f>SUMIFS(Notas!$F$2:$F$15,Notas!$C$2:$C$15,A37,Notas!$A$2:$A$15,"Crédito")</f>
        <v/>
      </c>
      <c r="H37" s="31">
        <f>SUMIFS(Notas!$F$2:$F$15,Notas!$C$2:$C$15,A37,Notas!$A$2:$A$15,"Débito")</f>
        <v/>
      </c>
      <c r="I37" s="31">
        <f>SUMIFS(Aplicacion!$E$2:$E$41,Aplicacion!$B$2:$B$41,A37)</f>
        <v/>
      </c>
      <c r="J37" s="31">
        <f>F37-G37+H37-I37</f>
        <v/>
      </c>
      <c r="K37" s="32">
        <f>MAX(0,Inicio!$B$4-E37)</f>
        <v/>
      </c>
      <c r="L37" s="5">
        <f>IF(J37&lt;=0,"Pagada",IF(K37=0,"Vigente","Vencida"))</f>
        <v/>
      </c>
      <c r="M37" s="5">
        <f>IF(J37&lt;=0,"Pagada",IF(K37=0,"Vigente",IF(K37&lt;=30,"0-30",IF(K37&lt;=60,"31-60",IF(K37&lt;=90,"61-90","&gt;90")))))</f>
        <v/>
      </c>
    </row>
    <row r="38">
      <c r="A38" s="5" t="inlineStr">
        <is>
          <t>FV-2026-037</t>
        </is>
      </c>
      <c r="B38" s="5" t="inlineStr">
        <is>
          <t>C020</t>
        </is>
      </c>
      <c r="C38" s="5">
        <f>IFERROR(INDEX(Clientes!$B$2:$B$21,MATCH(B38,Clientes!$A$2:$A$21,0)),"")</f>
        <v/>
      </c>
      <c r="D38" s="30" t="n">
        <v>46250</v>
      </c>
      <c r="E38" s="30" t="n">
        <v>46280</v>
      </c>
      <c r="F38" s="31" t="n">
        <v>1993000</v>
      </c>
      <c r="G38" s="31">
        <f>SUMIFS(Notas!$F$2:$F$15,Notas!$C$2:$C$15,A38,Notas!$A$2:$A$15,"Crédito")</f>
        <v/>
      </c>
      <c r="H38" s="31">
        <f>SUMIFS(Notas!$F$2:$F$15,Notas!$C$2:$C$15,A38,Notas!$A$2:$A$15,"Débito")</f>
        <v/>
      </c>
      <c r="I38" s="31">
        <f>SUMIFS(Aplicacion!$E$2:$E$41,Aplicacion!$B$2:$B$41,A38)</f>
        <v/>
      </c>
      <c r="J38" s="31">
        <f>F38-G38+H38-I38</f>
        <v/>
      </c>
      <c r="K38" s="32">
        <f>MAX(0,Inicio!$B$4-E38)</f>
        <v/>
      </c>
      <c r="L38" s="5">
        <f>IF(J38&lt;=0,"Pagada",IF(K38=0,"Vigente","Vencida"))</f>
        <v/>
      </c>
      <c r="M38" s="5">
        <f>IF(J38&lt;=0,"Pagada",IF(K38=0,"Vigente",IF(K38&lt;=30,"0-30",IF(K38&lt;=60,"31-60",IF(K38&lt;=90,"61-90","&gt;90")))))</f>
        <v/>
      </c>
    </row>
    <row r="39">
      <c r="A39" s="5" t="inlineStr">
        <is>
          <t>FV-2026-038</t>
        </is>
      </c>
      <c r="B39" s="5" t="inlineStr">
        <is>
          <t>C020</t>
        </is>
      </c>
      <c r="C39" s="5">
        <f>IFERROR(INDEX(Clientes!$B$2:$B$21,MATCH(B39,Clientes!$A$2:$A$21,0)),"")</f>
        <v/>
      </c>
      <c r="D39" s="30" t="n">
        <v>46247</v>
      </c>
      <c r="E39" s="30" t="n">
        <v>46277</v>
      </c>
      <c r="F39" s="31" t="n">
        <v>2142000</v>
      </c>
      <c r="G39" s="31">
        <f>SUMIFS(Notas!$F$2:$F$15,Notas!$C$2:$C$15,A39,Notas!$A$2:$A$15,"Crédito")</f>
        <v/>
      </c>
      <c r="H39" s="31">
        <f>SUMIFS(Notas!$F$2:$F$15,Notas!$C$2:$C$15,A39,Notas!$A$2:$A$15,"Débito")</f>
        <v/>
      </c>
      <c r="I39" s="31">
        <f>SUMIFS(Aplicacion!$E$2:$E$41,Aplicacion!$B$2:$B$41,A39)</f>
        <v/>
      </c>
      <c r="J39" s="31">
        <f>F39-G39+H39-I39</f>
        <v/>
      </c>
      <c r="K39" s="32">
        <f>MAX(0,Inicio!$B$4-E39)</f>
        <v/>
      </c>
      <c r="L39" s="5">
        <f>IF(J39&lt;=0,"Pagada",IF(K39=0,"Vigente","Vencida"))</f>
        <v/>
      </c>
      <c r="M39" s="5">
        <f>IF(J39&lt;=0,"Pagada",IF(K39=0,"Vigente",IF(K39&lt;=30,"0-30",IF(K39&lt;=60,"31-60",IF(K39&lt;=90,"61-90","&gt;90")))))</f>
        <v/>
      </c>
    </row>
    <row r="40">
      <c r="A40" s="5" t="inlineStr">
        <is>
          <t>FV-2026-039</t>
        </is>
      </c>
      <c r="B40" s="5" t="inlineStr">
        <is>
          <t>C003</t>
        </is>
      </c>
      <c r="C40" s="5">
        <f>IFERROR(INDEX(Clientes!$B$2:$B$21,MATCH(B40,Clientes!$A$2:$A$21,0)),"")</f>
        <v/>
      </c>
      <c r="D40" s="30" t="n">
        <v>46143</v>
      </c>
      <c r="E40" s="30" t="n">
        <v>46188</v>
      </c>
      <c r="F40" s="31" t="n">
        <v>7220000</v>
      </c>
      <c r="G40" s="31">
        <f>SUMIFS(Notas!$F$2:$F$15,Notas!$C$2:$C$15,A40,Notas!$A$2:$A$15,"Crédito")</f>
        <v/>
      </c>
      <c r="H40" s="31">
        <f>SUMIFS(Notas!$F$2:$F$15,Notas!$C$2:$C$15,A40,Notas!$A$2:$A$15,"Débito")</f>
        <v/>
      </c>
      <c r="I40" s="31">
        <f>SUMIFS(Aplicacion!$E$2:$E$41,Aplicacion!$B$2:$B$41,A40)</f>
        <v/>
      </c>
      <c r="J40" s="31">
        <f>F40-G40+H40-I40</f>
        <v/>
      </c>
      <c r="K40" s="32">
        <f>MAX(0,Inicio!$B$4-E40)</f>
        <v/>
      </c>
      <c r="L40" s="5">
        <f>IF(J40&lt;=0,"Pagada",IF(K40=0,"Vigente","Vencida"))</f>
        <v/>
      </c>
      <c r="M40" s="5">
        <f>IF(J40&lt;=0,"Pagada",IF(K40=0,"Vigente",IF(K40&lt;=30,"0-30",IF(K40&lt;=60,"31-60",IF(K40&lt;=90,"61-90","&gt;90")))))</f>
        <v/>
      </c>
    </row>
    <row r="41">
      <c r="A41" s="5" t="inlineStr">
        <is>
          <t>FV-2026-040</t>
        </is>
      </c>
      <c r="B41" s="5" t="inlineStr">
        <is>
          <t>C019</t>
        </is>
      </c>
      <c r="C41" s="5">
        <f>IFERROR(INDEX(Clientes!$B$2:$B$21,MATCH(B41,Clientes!$A$2:$A$21,0)),"")</f>
        <v/>
      </c>
      <c r="D41" s="30" t="n">
        <v>46137</v>
      </c>
      <c r="E41" s="30" t="n">
        <v>46167</v>
      </c>
      <c r="F41" s="31" t="n">
        <v>3694000</v>
      </c>
      <c r="G41" s="31">
        <f>SUMIFS(Notas!$F$2:$F$15,Notas!$C$2:$C$15,A41,Notas!$A$2:$A$15,"Crédito")</f>
        <v/>
      </c>
      <c r="H41" s="31">
        <f>SUMIFS(Notas!$F$2:$F$15,Notas!$C$2:$C$15,A41,Notas!$A$2:$A$15,"Débito")</f>
        <v/>
      </c>
      <c r="I41" s="31">
        <f>SUMIFS(Aplicacion!$E$2:$E$41,Aplicacion!$B$2:$B$41,A41)</f>
        <v/>
      </c>
      <c r="J41" s="31">
        <f>F41-G41+H41-I41</f>
        <v/>
      </c>
      <c r="K41" s="32">
        <f>MAX(0,Inicio!$B$4-E41)</f>
        <v/>
      </c>
      <c r="L41" s="5">
        <f>IF(J41&lt;=0,"Pagada",IF(K41=0,"Vigente","Vencida"))</f>
        <v/>
      </c>
      <c r="M41" s="5">
        <f>IF(J41&lt;=0,"Pagada",IF(K41=0,"Vigente",IF(K41&lt;=30,"0-30",IF(K41&lt;=60,"31-60",IF(K41&lt;=90,"61-90","&gt;90")))))</f>
        <v/>
      </c>
    </row>
    <row r="42">
      <c r="A42" s="5" t="inlineStr">
        <is>
          <t>FV-2026-041</t>
        </is>
      </c>
      <c r="B42" s="5" t="inlineStr">
        <is>
          <t>C006</t>
        </is>
      </c>
      <c r="C42" s="5">
        <f>IFERROR(INDEX(Clientes!$B$2:$B$21,MATCH(B42,Clientes!$A$2:$A$21,0)),"")</f>
        <v/>
      </c>
      <c r="D42" s="30" t="n">
        <v>46206</v>
      </c>
      <c r="E42" s="30" t="n">
        <v>46266</v>
      </c>
      <c r="F42" s="31" t="n">
        <v>4780000</v>
      </c>
      <c r="G42" s="31">
        <f>SUMIFS(Notas!$F$2:$F$15,Notas!$C$2:$C$15,A42,Notas!$A$2:$A$15,"Crédito")</f>
        <v/>
      </c>
      <c r="H42" s="31">
        <f>SUMIFS(Notas!$F$2:$F$15,Notas!$C$2:$C$15,A42,Notas!$A$2:$A$15,"Débito")</f>
        <v/>
      </c>
      <c r="I42" s="31">
        <f>SUMIFS(Aplicacion!$E$2:$E$41,Aplicacion!$B$2:$B$41,A42)</f>
        <v/>
      </c>
      <c r="J42" s="31">
        <f>F42-G42+H42-I42</f>
        <v/>
      </c>
      <c r="K42" s="32">
        <f>MAX(0,Inicio!$B$4-E42)</f>
        <v/>
      </c>
      <c r="L42" s="5">
        <f>IF(J42&lt;=0,"Pagada",IF(K42=0,"Vigente","Vencida"))</f>
        <v/>
      </c>
      <c r="M42" s="5">
        <f>IF(J42&lt;=0,"Pagada",IF(K42=0,"Vigente",IF(K42&lt;=30,"0-30",IF(K42&lt;=60,"31-60",IF(K42&lt;=90,"61-90","&gt;90")))))</f>
        <v/>
      </c>
    </row>
    <row r="43">
      <c r="A43" s="5" t="inlineStr">
        <is>
          <t>FV-2026-042</t>
        </is>
      </c>
      <c r="B43" s="5" t="inlineStr">
        <is>
          <t>C013</t>
        </is>
      </c>
      <c r="C43" s="5">
        <f>IFERROR(INDEX(Clientes!$B$2:$B$21,MATCH(B43,Clientes!$A$2:$A$21,0)),"")</f>
        <v/>
      </c>
      <c r="D43" s="30" t="n">
        <v>46134</v>
      </c>
      <c r="E43" s="30" t="n">
        <v>46194</v>
      </c>
      <c r="F43" s="31" t="n">
        <v>4225000</v>
      </c>
      <c r="G43" s="31">
        <f>SUMIFS(Notas!$F$2:$F$15,Notas!$C$2:$C$15,A43,Notas!$A$2:$A$15,"Crédito")</f>
        <v/>
      </c>
      <c r="H43" s="31">
        <f>SUMIFS(Notas!$F$2:$F$15,Notas!$C$2:$C$15,A43,Notas!$A$2:$A$15,"Débito")</f>
        <v/>
      </c>
      <c r="I43" s="31">
        <f>SUMIFS(Aplicacion!$E$2:$E$41,Aplicacion!$B$2:$B$41,A43)</f>
        <v/>
      </c>
      <c r="J43" s="31">
        <f>F43-G43+H43-I43</f>
        <v/>
      </c>
      <c r="K43" s="32">
        <f>MAX(0,Inicio!$B$4-E43)</f>
        <v/>
      </c>
      <c r="L43" s="5">
        <f>IF(J43&lt;=0,"Pagada",IF(K43=0,"Vigente","Vencida"))</f>
        <v/>
      </c>
      <c r="M43" s="5">
        <f>IF(J43&lt;=0,"Pagada",IF(K43=0,"Vigente",IF(K43&lt;=30,"0-30",IF(K43&lt;=60,"31-60",IF(K43&lt;=90,"61-90","&gt;90")))))</f>
        <v/>
      </c>
    </row>
    <row r="44">
      <c r="A44" s="5" t="inlineStr">
        <is>
          <t>FV-2026-043</t>
        </is>
      </c>
      <c r="B44" s="5" t="inlineStr">
        <is>
          <t>C006</t>
        </is>
      </c>
      <c r="C44" s="5">
        <f>IFERROR(INDEX(Clientes!$B$2:$B$21,MATCH(B44,Clientes!$A$2:$A$21,0)),"")</f>
        <v/>
      </c>
      <c r="D44" s="30" t="n">
        <v>46198</v>
      </c>
      <c r="E44" s="30" t="n">
        <v>46258</v>
      </c>
      <c r="F44" s="31" t="n">
        <v>1174000</v>
      </c>
      <c r="G44" s="31">
        <f>SUMIFS(Notas!$F$2:$F$15,Notas!$C$2:$C$15,A44,Notas!$A$2:$A$15,"Crédito")</f>
        <v/>
      </c>
      <c r="H44" s="31">
        <f>SUMIFS(Notas!$F$2:$F$15,Notas!$C$2:$C$15,A44,Notas!$A$2:$A$15,"Débito")</f>
        <v/>
      </c>
      <c r="I44" s="31">
        <f>SUMIFS(Aplicacion!$E$2:$E$41,Aplicacion!$B$2:$B$41,A44)</f>
        <v/>
      </c>
      <c r="J44" s="31">
        <f>F44-G44+H44-I44</f>
        <v/>
      </c>
      <c r="K44" s="32">
        <f>MAX(0,Inicio!$B$4-E44)</f>
        <v/>
      </c>
      <c r="L44" s="5">
        <f>IF(J44&lt;=0,"Pagada",IF(K44=0,"Vigente","Vencida"))</f>
        <v/>
      </c>
      <c r="M44" s="5">
        <f>IF(J44&lt;=0,"Pagada",IF(K44=0,"Vigente",IF(K44&lt;=30,"0-30",IF(K44&lt;=60,"31-60",IF(K44&lt;=90,"61-90","&gt;90")))))</f>
        <v/>
      </c>
    </row>
    <row r="45">
      <c r="A45" s="5" t="inlineStr">
        <is>
          <t>FV-2026-044</t>
        </is>
      </c>
      <c r="B45" s="5" t="inlineStr">
        <is>
          <t>C019</t>
        </is>
      </c>
      <c r="C45" s="5">
        <f>IFERROR(INDEX(Clientes!$B$2:$B$21,MATCH(B45,Clientes!$A$2:$A$21,0)),"")</f>
        <v/>
      </c>
      <c r="D45" s="30" t="n">
        <v>46129</v>
      </c>
      <c r="E45" s="30" t="n">
        <v>46159</v>
      </c>
      <c r="F45" s="31" t="n">
        <v>4371000</v>
      </c>
      <c r="G45" s="31">
        <f>SUMIFS(Notas!$F$2:$F$15,Notas!$C$2:$C$15,A45,Notas!$A$2:$A$15,"Crédito")</f>
        <v/>
      </c>
      <c r="H45" s="31">
        <f>SUMIFS(Notas!$F$2:$F$15,Notas!$C$2:$C$15,A45,Notas!$A$2:$A$15,"Débito")</f>
        <v/>
      </c>
      <c r="I45" s="31">
        <f>SUMIFS(Aplicacion!$E$2:$E$41,Aplicacion!$B$2:$B$41,A45)</f>
        <v/>
      </c>
      <c r="J45" s="31">
        <f>F45-G45+H45-I45</f>
        <v/>
      </c>
      <c r="K45" s="32">
        <f>MAX(0,Inicio!$B$4-E45)</f>
        <v/>
      </c>
      <c r="L45" s="5">
        <f>IF(J45&lt;=0,"Pagada",IF(K45=0,"Vigente","Vencida"))</f>
        <v/>
      </c>
      <c r="M45" s="5">
        <f>IF(J45&lt;=0,"Pagada",IF(K45=0,"Vigente",IF(K45&lt;=30,"0-30",IF(K45&lt;=60,"31-60",IF(K45&lt;=90,"61-90","&gt;90")))))</f>
        <v/>
      </c>
    </row>
    <row r="46">
      <c r="A46" s="5" t="inlineStr">
        <is>
          <t>FV-2026-045</t>
        </is>
      </c>
      <c r="B46" s="5" t="inlineStr">
        <is>
          <t>C007</t>
        </is>
      </c>
      <c r="C46" s="5">
        <f>IFERROR(INDEX(Clientes!$B$2:$B$21,MATCH(B46,Clientes!$A$2:$A$21,0)),"")</f>
        <v/>
      </c>
      <c r="D46" s="30" t="n">
        <v>46256</v>
      </c>
      <c r="E46" s="30" t="n">
        <v>46301</v>
      </c>
      <c r="F46" s="31" t="n">
        <v>1053000</v>
      </c>
      <c r="G46" s="31">
        <f>SUMIFS(Notas!$F$2:$F$15,Notas!$C$2:$C$15,A46,Notas!$A$2:$A$15,"Crédito")</f>
        <v/>
      </c>
      <c r="H46" s="31">
        <f>SUMIFS(Notas!$F$2:$F$15,Notas!$C$2:$C$15,A46,Notas!$A$2:$A$15,"Débito")</f>
        <v/>
      </c>
      <c r="I46" s="31">
        <f>SUMIFS(Aplicacion!$E$2:$E$41,Aplicacion!$B$2:$B$41,A46)</f>
        <v/>
      </c>
      <c r="J46" s="31">
        <f>F46-G46+H46-I46</f>
        <v/>
      </c>
      <c r="K46" s="32">
        <f>MAX(0,Inicio!$B$4-E46)</f>
        <v/>
      </c>
      <c r="L46" s="5">
        <f>IF(J46&lt;=0,"Pagada",IF(K46=0,"Vigente","Vencida"))</f>
        <v/>
      </c>
      <c r="M46" s="5">
        <f>IF(J46&lt;=0,"Pagada",IF(K46=0,"Vigente",IF(K46&lt;=30,"0-30",IF(K46&lt;=60,"31-60",IF(K46&lt;=90,"61-90","&gt;90")))))</f>
        <v/>
      </c>
    </row>
    <row r="47">
      <c r="A47" s="5" t="inlineStr">
        <is>
          <t>FV-2026-046</t>
        </is>
      </c>
      <c r="B47" s="5" t="inlineStr">
        <is>
          <t>C006</t>
        </is>
      </c>
      <c r="C47" s="5">
        <f>IFERROR(INDEX(Clientes!$B$2:$B$21,MATCH(B47,Clientes!$A$2:$A$21,0)),"")</f>
        <v/>
      </c>
      <c r="D47" s="30" t="n">
        <v>46224</v>
      </c>
      <c r="E47" s="30" t="n">
        <v>46284</v>
      </c>
      <c r="F47" s="31" t="n">
        <v>6338000</v>
      </c>
      <c r="G47" s="31">
        <f>SUMIFS(Notas!$F$2:$F$15,Notas!$C$2:$C$15,A47,Notas!$A$2:$A$15,"Crédito")</f>
        <v/>
      </c>
      <c r="H47" s="31">
        <f>SUMIFS(Notas!$F$2:$F$15,Notas!$C$2:$C$15,A47,Notas!$A$2:$A$15,"Débito")</f>
        <v/>
      </c>
      <c r="I47" s="31">
        <f>SUMIFS(Aplicacion!$E$2:$E$41,Aplicacion!$B$2:$B$41,A47)</f>
        <v/>
      </c>
      <c r="J47" s="31">
        <f>F47-G47+H47-I47</f>
        <v/>
      </c>
      <c r="K47" s="32">
        <f>MAX(0,Inicio!$B$4-E47)</f>
        <v/>
      </c>
      <c r="L47" s="5">
        <f>IF(J47&lt;=0,"Pagada",IF(K47=0,"Vigente","Vencida"))</f>
        <v/>
      </c>
      <c r="M47" s="5">
        <f>IF(J47&lt;=0,"Pagada",IF(K47=0,"Vigente",IF(K47&lt;=30,"0-30",IF(K47&lt;=60,"31-60",IF(K47&lt;=90,"61-90","&gt;90")))))</f>
        <v/>
      </c>
    </row>
    <row r="48">
      <c r="A48" s="5" t="inlineStr">
        <is>
          <t>FV-2026-047</t>
        </is>
      </c>
      <c r="B48" s="5" t="inlineStr">
        <is>
          <t>C018</t>
        </is>
      </c>
      <c r="C48" s="5">
        <f>IFERROR(INDEX(Clientes!$B$2:$B$21,MATCH(B48,Clientes!$A$2:$A$21,0)),"")</f>
        <v/>
      </c>
      <c r="D48" s="30" t="n">
        <v>46197</v>
      </c>
      <c r="E48" s="30" t="n">
        <v>46212</v>
      </c>
      <c r="F48" s="31" t="n">
        <v>2442000</v>
      </c>
      <c r="G48" s="31">
        <f>SUMIFS(Notas!$F$2:$F$15,Notas!$C$2:$C$15,A48,Notas!$A$2:$A$15,"Crédito")</f>
        <v/>
      </c>
      <c r="H48" s="31">
        <f>SUMIFS(Notas!$F$2:$F$15,Notas!$C$2:$C$15,A48,Notas!$A$2:$A$15,"Débito")</f>
        <v/>
      </c>
      <c r="I48" s="31">
        <f>SUMIFS(Aplicacion!$E$2:$E$41,Aplicacion!$B$2:$B$41,A48)</f>
        <v/>
      </c>
      <c r="J48" s="31">
        <f>F48-G48+H48-I48</f>
        <v/>
      </c>
      <c r="K48" s="32">
        <f>MAX(0,Inicio!$B$4-E48)</f>
        <v/>
      </c>
      <c r="L48" s="5">
        <f>IF(J48&lt;=0,"Pagada",IF(K48=0,"Vigente","Vencida"))</f>
        <v/>
      </c>
      <c r="M48" s="5">
        <f>IF(J48&lt;=0,"Pagada",IF(K48=0,"Vigente",IF(K48&lt;=30,"0-30",IF(K48&lt;=60,"31-60",IF(K48&lt;=90,"61-90","&gt;90")))))</f>
        <v/>
      </c>
    </row>
    <row r="49">
      <c r="A49" s="5" t="inlineStr">
        <is>
          <t>FV-2026-048</t>
        </is>
      </c>
      <c r="B49" s="5" t="inlineStr">
        <is>
          <t>C020</t>
        </is>
      </c>
      <c r="C49" s="5">
        <f>IFERROR(INDEX(Clientes!$B$2:$B$21,MATCH(B49,Clientes!$A$2:$A$21,0)),"")</f>
        <v/>
      </c>
      <c r="D49" s="30" t="n">
        <v>46276</v>
      </c>
      <c r="E49" s="30" t="n">
        <v>46306</v>
      </c>
      <c r="F49" s="31" t="n">
        <v>6626000</v>
      </c>
      <c r="G49" s="31">
        <f>SUMIFS(Notas!$F$2:$F$15,Notas!$C$2:$C$15,A49,Notas!$A$2:$A$15,"Crédito")</f>
        <v/>
      </c>
      <c r="H49" s="31">
        <f>SUMIFS(Notas!$F$2:$F$15,Notas!$C$2:$C$15,A49,Notas!$A$2:$A$15,"Débito")</f>
        <v/>
      </c>
      <c r="I49" s="31">
        <f>SUMIFS(Aplicacion!$E$2:$E$41,Aplicacion!$B$2:$B$41,A49)</f>
        <v/>
      </c>
      <c r="J49" s="31">
        <f>F49-G49+H49-I49</f>
        <v/>
      </c>
      <c r="K49" s="32">
        <f>MAX(0,Inicio!$B$4-E49)</f>
        <v/>
      </c>
      <c r="L49" s="5">
        <f>IF(J49&lt;=0,"Pagada",IF(K49=0,"Vigente","Vencida"))</f>
        <v/>
      </c>
      <c r="M49" s="5">
        <f>IF(J49&lt;=0,"Pagada",IF(K49=0,"Vigente",IF(K49&lt;=30,"0-30",IF(K49&lt;=60,"31-60",IF(K49&lt;=90,"61-90","&gt;90")))))</f>
        <v/>
      </c>
    </row>
    <row r="50">
      <c r="A50" s="5" t="inlineStr">
        <is>
          <t>FV-2026-049</t>
        </is>
      </c>
      <c r="B50" s="5" t="inlineStr">
        <is>
          <t>C020</t>
        </is>
      </c>
      <c r="C50" s="5">
        <f>IFERROR(INDEX(Clientes!$B$2:$B$21,MATCH(B50,Clientes!$A$2:$A$21,0)),"")</f>
        <v/>
      </c>
      <c r="D50" s="30" t="n">
        <v>46259</v>
      </c>
      <c r="E50" s="30" t="n">
        <v>46289</v>
      </c>
      <c r="F50" s="31" t="n">
        <v>4866000</v>
      </c>
      <c r="G50" s="31">
        <f>SUMIFS(Notas!$F$2:$F$15,Notas!$C$2:$C$15,A50,Notas!$A$2:$A$15,"Crédito")</f>
        <v/>
      </c>
      <c r="H50" s="31">
        <f>SUMIFS(Notas!$F$2:$F$15,Notas!$C$2:$C$15,A50,Notas!$A$2:$A$15,"Débito")</f>
        <v/>
      </c>
      <c r="I50" s="31">
        <f>SUMIFS(Aplicacion!$E$2:$E$41,Aplicacion!$B$2:$B$41,A50)</f>
        <v/>
      </c>
      <c r="J50" s="31">
        <f>F50-G50+H50-I50</f>
        <v/>
      </c>
      <c r="K50" s="32">
        <f>MAX(0,Inicio!$B$4-E50)</f>
        <v/>
      </c>
      <c r="L50" s="5">
        <f>IF(J50&lt;=0,"Pagada",IF(K50=0,"Vigente","Vencida"))</f>
        <v/>
      </c>
      <c r="M50" s="5">
        <f>IF(J50&lt;=0,"Pagada",IF(K50=0,"Vigente",IF(K50&lt;=30,"0-30",IF(K50&lt;=60,"31-60",IF(K50&lt;=90,"61-90","&gt;90")))))</f>
        <v/>
      </c>
    </row>
    <row r="51">
      <c r="A51" s="5" t="inlineStr">
        <is>
          <t>FV-2026-050</t>
        </is>
      </c>
      <c r="B51" s="5" t="inlineStr">
        <is>
          <t>C006</t>
        </is>
      </c>
      <c r="C51" s="5">
        <f>IFERROR(INDEX(Clientes!$B$2:$B$21,MATCH(B51,Clientes!$A$2:$A$21,0)),"")</f>
        <v/>
      </c>
      <c r="D51" s="30" t="n">
        <v>46142</v>
      </c>
      <c r="E51" s="30" t="n">
        <v>46202</v>
      </c>
      <c r="F51" s="31" t="n">
        <v>3970000</v>
      </c>
      <c r="G51" s="31">
        <f>SUMIFS(Notas!$F$2:$F$15,Notas!$C$2:$C$15,A51,Notas!$A$2:$A$15,"Crédito")</f>
        <v/>
      </c>
      <c r="H51" s="31">
        <f>SUMIFS(Notas!$F$2:$F$15,Notas!$C$2:$C$15,A51,Notas!$A$2:$A$15,"Débito")</f>
        <v/>
      </c>
      <c r="I51" s="31">
        <f>SUMIFS(Aplicacion!$E$2:$E$41,Aplicacion!$B$2:$B$41,A51)</f>
        <v/>
      </c>
      <c r="J51" s="31">
        <f>F51-G51+H51-I51</f>
        <v/>
      </c>
      <c r="K51" s="32">
        <f>MAX(0,Inicio!$B$4-E51)</f>
        <v/>
      </c>
      <c r="L51" s="5">
        <f>IF(J51&lt;=0,"Pagada",IF(K51=0,"Vigente","Vencida"))</f>
        <v/>
      </c>
      <c r="M51" s="5">
        <f>IF(J51&lt;=0,"Pagada",IF(K51=0,"Vigente",IF(K51&lt;=30,"0-30",IF(K51&lt;=60,"31-60",IF(K51&lt;=90,"61-90","&gt;90")))))</f>
        <v/>
      </c>
    </row>
  </sheetData>
  <autoFilter ref="A1:M51"/>
  <conditionalFormatting sqref="M2:M51">
    <cfRule type="expression" priority="1" dxfId="2">
      <formula>$M2="Pagada"</formula>
    </cfRule>
    <cfRule type="expression" priority="2" dxfId="3">
      <formula>$M2="Vigente"</formula>
    </cfRule>
    <cfRule type="expression" priority="3" dxfId="1">
      <formula>$M2="0-30"</formula>
    </cfRule>
    <cfRule type="expression" priority="4" dxfId="4">
      <formula>$M2="31-60"</formula>
    </cfRule>
    <cfRule type="expression" priority="5" dxfId="0">
      <formula>$M2="61-90"</formula>
    </cfRule>
    <cfRule type="expression" priority="6" dxfId="5">
      <formula>$M2="&gt;90"</formula>
    </cfRule>
  </conditionalFormatting>
  <conditionalFormatting sqref="L2:L51">
    <cfRule type="expression" priority="7" dxfId="2">
      <formula>$L2="Pagada"</formula>
    </cfRule>
    <cfRule type="expression" priority="8" dxfId="3">
      <formula>$L2="Vigente"</formula>
    </cfRule>
    <cfRule type="expression" priority="9" dxfId="0">
      <formula>$L2="Vencida"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A7F8F"/>
    <outlinePr summaryBelow="1" summaryRight="1"/>
    <pageSetUpPr/>
  </sheetPr>
  <dimension ref="A1:M22"/>
  <sheetViews>
    <sheetView showGridLines="0" zoomScale="9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0" customWidth="1" min="2" max="2"/>
    <col width="14" customWidth="1" min="3" max="3"/>
    <col width="15" customWidth="1" min="4" max="4"/>
    <col width="14" customWidth="1" min="5" max="5"/>
    <col width="13" customWidth="1" min="6" max="6"/>
    <col width="13" customWidth="1" min="7" max="7"/>
    <col width="13" customWidth="1" min="8" max="8"/>
    <col width="13" customWidth="1" min="9" max="9"/>
    <col width="15" customWidth="1" min="10" max="10"/>
    <col width="10" customWidth="1" min="11" max="11"/>
    <col width="11" customWidth="1" min="12" max="12"/>
    <col width="9" customWidth="1" min="13" max="13"/>
  </cols>
  <sheetData>
    <row r="1" ht="32" customHeight="1">
      <c r="A1" s="29" t="inlineStr">
        <is>
          <t>ClienteID</t>
        </is>
      </c>
      <c r="B1" s="29" t="inlineStr">
        <is>
          <t>Cliente</t>
        </is>
      </c>
      <c r="C1" s="29" t="inlineStr">
        <is>
          <t>Cupo</t>
        </is>
      </c>
      <c r="D1" s="29" t="inlineStr">
        <is>
          <t>CarteraTotal</t>
        </is>
      </c>
      <c r="E1" s="29" t="inlineStr">
        <is>
          <t>Vigente</t>
        </is>
      </c>
      <c r="F1" s="29" t="inlineStr">
        <is>
          <t>0-30</t>
        </is>
      </c>
      <c r="G1" s="29" t="inlineStr">
        <is>
          <t>31-60</t>
        </is>
      </c>
      <c r="H1" s="29" t="inlineStr">
        <is>
          <t>61-90</t>
        </is>
      </c>
      <c r="I1" s="29" t="inlineStr">
        <is>
          <t>&gt;90</t>
        </is>
      </c>
      <c r="J1" s="29" t="inlineStr">
        <is>
          <t>SaldoVencido</t>
        </is>
      </c>
      <c r="K1" s="29" t="inlineStr">
        <is>
          <t>%Cupo</t>
        </is>
      </c>
      <c r="L1" s="29" t="inlineStr">
        <is>
          <t>Semaforo</t>
        </is>
      </c>
      <c r="M1" s="29" t="inlineStr">
        <is>
          <t>Ranking</t>
        </is>
      </c>
    </row>
    <row r="2">
      <c r="A2" s="5" t="inlineStr">
        <is>
          <t>C001</t>
        </is>
      </c>
      <c r="B2" s="5">
        <f>IFERROR(INDEX(Clientes!$B$2:$B$21,MATCH(A2,Clientes!$A$2:$A$21,0)),"")</f>
        <v/>
      </c>
      <c r="C2" s="31">
        <f>IFERROR(INDEX(Clientes!$E$2:$E$21,MATCH(A2,Clientes!$A$2:$A$21,0)),0)</f>
        <v/>
      </c>
      <c r="D2" s="31">
        <f>SUMIFS(Cartera!$J$2:$J$51,Cartera!$B$2:$B$51,A2)</f>
        <v/>
      </c>
      <c r="E2" s="31">
        <f>SUMPRODUCT((Cartera!$B$2:$B$51=A2)*(Cartera!$L$2:$L$51="Vigente")*Cartera!$J$2:$J$51)</f>
        <v/>
      </c>
      <c r="F2" s="31">
        <f>SUMPRODUCT((Cartera!$B$2:$B$51=A2)*(Cartera!$M$2:$M$51="0-30")*Cartera!$J$2:$J$51)</f>
        <v/>
      </c>
      <c r="G2" s="31">
        <f>SUMPRODUCT((Cartera!$B$2:$B$51=A2)*(Cartera!$M$2:$M$51="31-60")*Cartera!$J$2:$J$51)</f>
        <v/>
      </c>
      <c r="H2" s="31">
        <f>SUMPRODUCT((Cartera!$B$2:$B$51=A2)*(Cartera!$M$2:$M$51="61-90")*Cartera!$J$2:$J$51)</f>
        <v/>
      </c>
      <c r="I2" s="31">
        <f>SUMPRODUCT((Cartera!$B$2:$B$51=A2)*(Cartera!$M$2:$M$51="&gt;90")*Cartera!$J$2:$J$51)</f>
        <v/>
      </c>
      <c r="J2" s="31">
        <f>D2-E2</f>
        <v/>
      </c>
      <c r="K2" s="33">
        <f>IF(C2=0,0,D2/C2)</f>
        <v/>
      </c>
      <c r="L2" s="5">
        <f>IF(K2&gt;1,"Rojo",IF(K2&gt;=0.8,"Amarillo","Verde"))</f>
        <v/>
      </c>
      <c r="M2" s="32">
        <f>RANK(D2,$D$2:$D$21,0)+COUNTIF($D$2:D2,D2)-1</f>
        <v/>
      </c>
    </row>
    <row r="3">
      <c r="A3" s="5" t="inlineStr">
        <is>
          <t>C002</t>
        </is>
      </c>
      <c r="B3" s="5">
        <f>IFERROR(INDEX(Clientes!$B$2:$B$21,MATCH(A3,Clientes!$A$2:$A$21,0)),"")</f>
        <v/>
      </c>
      <c r="C3" s="31">
        <f>IFERROR(INDEX(Clientes!$E$2:$E$21,MATCH(A3,Clientes!$A$2:$A$21,0)),0)</f>
        <v/>
      </c>
      <c r="D3" s="31">
        <f>SUMIFS(Cartera!$J$2:$J$51,Cartera!$B$2:$B$51,A3)</f>
        <v/>
      </c>
      <c r="E3" s="31">
        <f>SUMPRODUCT((Cartera!$B$2:$B$51=A3)*(Cartera!$L$2:$L$51="Vigente")*Cartera!$J$2:$J$51)</f>
        <v/>
      </c>
      <c r="F3" s="31">
        <f>SUMPRODUCT((Cartera!$B$2:$B$51=A3)*(Cartera!$M$2:$M$51="0-30")*Cartera!$J$2:$J$51)</f>
        <v/>
      </c>
      <c r="G3" s="31">
        <f>SUMPRODUCT((Cartera!$B$2:$B$51=A3)*(Cartera!$M$2:$M$51="31-60")*Cartera!$J$2:$J$51)</f>
        <v/>
      </c>
      <c r="H3" s="31">
        <f>SUMPRODUCT((Cartera!$B$2:$B$51=A3)*(Cartera!$M$2:$M$51="61-90")*Cartera!$J$2:$J$51)</f>
        <v/>
      </c>
      <c r="I3" s="31">
        <f>SUMPRODUCT((Cartera!$B$2:$B$51=A3)*(Cartera!$M$2:$M$51="&gt;90")*Cartera!$J$2:$J$51)</f>
        <v/>
      </c>
      <c r="J3" s="31">
        <f>D3-E3</f>
        <v/>
      </c>
      <c r="K3" s="33">
        <f>IF(C3=0,0,D3/C3)</f>
        <v/>
      </c>
      <c r="L3" s="5">
        <f>IF(K3&gt;1,"Rojo",IF(K3&gt;=0.8,"Amarillo","Verde"))</f>
        <v/>
      </c>
      <c r="M3" s="32">
        <f>RANK(D3,$D$2:$D$21,0)+COUNTIF($D$2:D3,D3)-1</f>
        <v/>
      </c>
    </row>
    <row r="4">
      <c r="A4" s="5" t="inlineStr">
        <is>
          <t>C003</t>
        </is>
      </c>
      <c r="B4" s="5">
        <f>IFERROR(INDEX(Clientes!$B$2:$B$21,MATCH(A4,Clientes!$A$2:$A$21,0)),"")</f>
        <v/>
      </c>
      <c r="C4" s="31">
        <f>IFERROR(INDEX(Clientes!$E$2:$E$21,MATCH(A4,Clientes!$A$2:$A$21,0)),0)</f>
        <v/>
      </c>
      <c r="D4" s="31">
        <f>SUMIFS(Cartera!$J$2:$J$51,Cartera!$B$2:$B$51,A4)</f>
        <v/>
      </c>
      <c r="E4" s="31">
        <f>SUMPRODUCT((Cartera!$B$2:$B$51=A4)*(Cartera!$L$2:$L$51="Vigente")*Cartera!$J$2:$J$51)</f>
        <v/>
      </c>
      <c r="F4" s="31">
        <f>SUMPRODUCT((Cartera!$B$2:$B$51=A4)*(Cartera!$M$2:$M$51="0-30")*Cartera!$J$2:$J$51)</f>
        <v/>
      </c>
      <c r="G4" s="31">
        <f>SUMPRODUCT((Cartera!$B$2:$B$51=A4)*(Cartera!$M$2:$M$51="31-60")*Cartera!$J$2:$J$51)</f>
        <v/>
      </c>
      <c r="H4" s="31">
        <f>SUMPRODUCT((Cartera!$B$2:$B$51=A4)*(Cartera!$M$2:$M$51="61-90")*Cartera!$J$2:$J$51)</f>
        <v/>
      </c>
      <c r="I4" s="31">
        <f>SUMPRODUCT((Cartera!$B$2:$B$51=A4)*(Cartera!$M$2:$M$51="&gt;90")*Cartera!$J$2:$J$51)</f>
        <v/>
      </c>
      <c r="J4" s="31">
        <f>D4-E4</f>
        <v/>
      </c>
      <c r="K4" s="33">
        <f>IF(C4=0,0,D4/C4)</f>
        <v/>
      </c>
      <c r="L4" s="5">
        <f>IF(K4&gt;1,"Rojo",IF(K4&gt;=0.8,"Amarillo","Verde"))</f>
        <v/>
      </c>
      <c r="M4" s="32">
        <f>RANK(D4,$D$2:$D$21,0)+COUNTIF($D$2:D4,D4)-1</f>
        <v/>
      </c>
    </row>
    <row r="5">
      <c r="A5" s="5" t="inlineStr">
        <is>
          <t>C004</t>
        </is>
      </c>
      <c r="B5" s="5">
        <f>IFERROR(INDEX(Clientes!$B$2:$B$21,MATCH(A5,Clientes!$A$2:$A$21,0)),"")</f>
        <v/>
      </c>
      <c r="C5" s="31">
        <f>IFERROR(INDEX(Clientes!$E$2:$E$21,MATCH(A5,Clientes!$A$2:$A$21,0)),0)</f>
        <v/>
      </c>
      <c r="D5" s="31">
        <f>SUMIFS(Cartera!$J$2:$J$51,Cartera!$B$2:$B$51,A5)</f>
        <v/>
      </c>
      <c r="E5" s="31">
        <f>SUMPRODUCT((Cartera!$B$2:$B$51=A5)*(Cartera!$L$2:$L$51="Vigente")*Cartera!$J$2:$J$51)</f>
        <v/>
      </c>
      <c r="F5" s="31">
        <f>SUMPRODUCT((Cartera!$B$2:$B$51=A5)*(Cartera!$M$2:$M$51="0-30")*Cartera!$J$2:$J$51)</f>
        <v/>
      </c>
      <c r="G5" s="31">
        <f>SUMPRODUCT((Cartera!$B$2:$B$51=A5)*(Cartera!$M$2:$M$51="31-60")*Cartera!$J$2:$J$51)</f>
        <v/>
      </c>
      <c r="H5" s="31">
        <f>SUMPRODUCT((Cartera!$B$2:$B$51=A5)*(Cartera!$M$2:$M$51="61-90")*Cartera!$J$2:$J$51)</f>
        <v/>
      </c>
      <c r="I5" s="31">
        <f>SUMPRODUCT((Cartera!$B$2:$B$51=A5)*(Cartera!$M$2:$M$51="&gt;90")*Cartera!$J$2:$J$51)</f>
        <v/>
      </c>
      <c r="J5" s="31">
        <f>D5-E5</f>
        <v/>
      </c>
      <c r="K5" s="33">
        <f>IF(C5=0,0,D5/C5)</f>
        <v/>
      </c>
      <c r="L5" s="5">
        <f>IF(K5&gt;1,"Rojo",IF(K5&gt;=0.8,"Amarillo","Verde"))</f>
        <v/>
      </c>
      <c r="M5" s="32">
        <f>RANK(D5,$D$2:$D$21,0)+COUNTIF($D$2:D5,D5)-1</f>
        <v/>
      </c>
    </row>
    <row r="6">
      <c r="A6" s="5" t="inlineStr">
        <is>
          <t>C005</t>
        </is>
      </c>
      <c r="B6" s="5">
        <f>IFERROR(INDEX(Clientes!$B$2:$B$21,MATCH(A6,Clientes!$A$2:$A$21,0)),"")</f>
        <v/>
      </c>
      <c r="C6" s="31">
        <f>IFERROR(INDEX(Clientes!$E$2:$E$21,MATCH(A6,Clientes!$A$2:$A$21,0)),0)</f>
        <v/>
      </c>
      <c r="D6" s="31">
        <f>SUMIFS(Cartera!$J$2:$J$51,Cartera!$B$2:$B$51,A6)</f>
        <v/>
      </c>
      <c r="E6" s="31">
        <f>SUMPRODUCT((Cartera!$B$2:$B$51=A6)*(Cartera!$L$2:$L$51="Vigente")*Cartera!$J$2:$J$51)</f>
        <v/>
      </c>
      <c r="F6" s="31">
        <f>SUMPRODUCT((Cartera!$B$2:$B$51=A6)*(Cartera!$M$2:$M$51="0-30")*Cartera!$J$2:$J$51)</f>
        <v/>
      </c>
      <c r="G6" s="31">
        <f>SUMPRODUCT((Cartera!$B$2:$B$51=A6)*(Cartera!$M$2:$M$51="31-60")*Cartera!$J$2:$J$51)</f>
        <v/>
      </c>
      <c r="H6" s="31">
        <f>SUMPRODUCT((Cartera!$B$2:$B$51=A6)*(Cartera!$M$2:$M$51="61-90")*Cartera!$J$2:$J$51)</f>
        <v/>
      </c>
      <c r="I6" s="31">
        <f>SUMPRODUCT((Cartera!$B$2:$B$51=A6)*(Cartera!$M$2:$M$51="&gt;90")*Cartera!$J$2:$J$51)</f>
        <v/>
      </c>
      <c r="J6" s="31">
        <f>D6-E6</f>
        <v/>
      </c>
      <c r="K6" s="33">
        <f>IF(C6=0,0,D6/C6)</f>
        <v/>
      </c>
      <c r="L6" s="5">
        <f>IF(K6&gt;1,"Rojo",IF(K6&gt;=0.8,"Amarillo","Verde"))</f>
        <v/>
      </c>
      <c r="M6" s="32">
        <f>RANK(D6,$D$2:$D$21,0)+COUNTIF($D$2:D6,D6)-1</f>
        <v/>
      </c>
    </row>
    <row r="7">
      <c r="A7" s="5" t="inlineStr">
        <is>
          <t>C006</t>
        </is>
      </c>
      <c r="B7" s="5">
        <f>IFERROR(INDEX(Clientes!$B$2:$B$21,MATCH(A7,Clientes!$A$2:$A$21,0)),"")</f>
        <v/>
      </c>
      <c r="C7" s="31">
        <f>IFERROR(INDEX(Clientes!$E$2:$E$21,MATCH(A7,Clientes!$A$2:$A$21,0)),0)</f>
        <v/>
      </c>
      <c r="D7" s="31">
        <f>SUMIFS(Cartera!$J$2:$J$51,Cartera!$B$2:$B$51,A7)</f>
        <v/>
      </c>
      <c r="E7" s="31">
        <f>SUMPRODUCT((Cartera!$B$2:$B$51=A7)*(Cartera!$L$2:$L$51="Vigente")*Cartera!$J$2:$J$51)</f>
        <v/>
      </c>
      <c r="F7" s="31">
        <f>SUMPRODUCT((Cartera!$B$2:$B$51=A7)*(Cartera!$M$2:$M$51="0-30")*Cartera!$J$2:$J$51)</f>
        <v/>
      </c>
      <c r="G7" s="31">
        <f>SUMPRODUCT((Cartera!$B$2:$B$51=A7)*(Cartera!$M$2:$M$51="31-60")*Cartera!$J$2:$J$51)</f>
        <v/>
      </c>
      <c r="H7" s="31">
        <f>SUMPRODUCT((Cartera!$B$2:$B$51=A7)*(Cartera!$M$2:$M$51="61-90")*Cartera!$J$2:$J$51)</f>
        <v/>
      </c>
      <c r="I7" s="31">
        <f>SUMPRODUCT((Cartera!$B$2:$B$51=A7)*(Cartera!$M$2:$M$51="&gt;90")*Cartera!$J$2:$J$51)</f>
        <v/>
      </c>
      <c r="J7" s="31">
        <f>D7-E7</f>
        <v/>
      </c>
      <c r="K7" s="33">
        <f>IF(C7=0,0,D7/C7)</f>
        <v/>
      </c>
      <c r="L7" s="5">
        <f>IF(K7&gt;1,"Rojo",IF(K7&gt;=0.8,"Amarillo","Verde"))</f>
        <v/>
      </c>
      <c r="M7" s="32">
        <f>RANK(D7,$D$2:$D$21,0)+COUNTIF($D$2:D7,D7)-1</f>
        <v/>
      </c>
    </row>
    <row r="8">
      <c r="A8" s="5" t="inlineStr">
        <is>
          <t>C007</t>
        </is>
      </c>
      <c r="B8" s="5">
        <f>IFERROR(INDEX(Clientes!$B$2:$B$21,MATCH(A8,Clientes!$A$2:$A$21,0)),"")</f>
        <v/>
      </c>
      <c r="C8" s="31">
        <f>IFERROR(INDEX(Clientes!$E$2:$E$21,MATCH(A8,Clientes!$A$2:$A$21,0)),0)</f>
        <v/>
      </c>
      <c r="D8" s="31">
        <f>SUMIFS(Cartera!$J$2:$J$51,Cartera!$B$2:$B$51,A8)</f>
        <v/>
      </c>
      <c r="E8" s="31">
        <f>SUMPRODUCT((Cartera!$B$2:$B$51=A8)*(Cartera!$L$2:$L$51="Vigente")*Cartera!$J$2:$J$51)</f>
        <v/>
      </c>
      <c r="F8" s="31">
        <f>SUMPRODUCT((Cartera!$B$2:$B$51=A8)*(Cartera!$M$2:$M$51="0-30")*Cartera!$J$2:$J$51)</f>
        <v/>
      </c>
      <c r="G8" s="31">
        <f>SUMPRODUCT((Cartera!$B$2:$B$51=A8)*(Cartera!$M$2:$M$51="31-60")*Cartera!$J$2:$J$51)</f>
        <v/>
      </c>
      <c r="H8" s="31">
        <f>SUMPRODUCT((Cartera!$B$2:$B$51=A8)*(Cartera!$M$2:$M$51="61-90")*Cartera!$J$2:$J$51)</f>
        <v/>
      </c>
      <c r="I8" s="31">
        <f>SUMPRODUCT((Cartera!$B$2:$B$51=A8)*(Cartera!$M$2:$M$51="&gt;90")*Cartera!$J$2:$J$51)</f>
        <v/>
      </c>
      <c r="J8" s="31">
        <f>D8-E8</f>
        <v/>
      </c>
      <c r="K8" s="33">
        <f>IF(C8=0,0,D8/C8)</f>
        <v/>
      </c>
      <c r="L8" s="5">
        <f>IF(K8&gt;1,"Rojo",IF(K8&gt;=0.8,"Amarillo","Verde"))</f>
        <v/>
      </c>
      <c r="M8" s="32">
        <f>RANK(D8,$D$2:$D$21,0)+COUNTIF($D$2:D8,D8)-1</f>
        <v/>
      </c>
    </row>
    <row r="9">
      <c r="A9" s="5" t="inlineStr">
        <is>
          <t>C008</t>
        </is>
      </c>
      <c r="B9" s="5">
        <f>IFERROR(INDEX(Clientes!$B$2:$B$21,MATCH(A9,Clientes!$A$2:$A$21,0)),"")</f>
        <v/>
      </c>
      <c r="C9" s="31">
        <f>IFERROR(INDEX(Clientes!$E$2:$E$21,MATCH(A9,Clientes!$A$2:$A$21,0)),0)</f>
        <v/>
      </c>
      <c r="D9" s="31">
        <f>SUMIFS(Cartera!$J$2:$J$51,Cartera!$B$2:$B$51,A9)</f>
        <v/>
      </c>
      <c r="E9" s="31">
        <f>SUMPRODUCT((Cartera!$B$2:$B$51=A9)*(Cartera!$L$2:$L$51="Vigente")*Cartera!$J$2:$J$51)</f>
        <v/>
      </c>
      <c r="F9" s="31">
        <f>SUMPRODUCT((Cartera!$B$2:$B$51=A9)*(Cartera!$M$2:$M$51="0-30")*Cartera!$J$2:$J$51)</f>
        <v/>
      </c>
      <c r="G9" s="31">
        <f>SUMPRODUCT((Cartera!$B$2:$B$51=A9)*(Cartera!$M$2:$M$51="31-60")*Cartera!$J$2:$J$51)</f>
        <v/>
      </c>
      <c r="H9" s="31">
        <f>SUMPRODUCT((Cartera!$B$2:$B$51=A9)*(Cartera!$M$2:$M$51="61-90")*Cartera!$J$2:$J$51)</f>
        <v/>
      </c>
      <c r="I9" s="31">
        <f>SUMPRODUCT((Cartera!$B$2:$B$51=A9)*(Cartera!$M$2:$M$51="&gt;90")*Cartera!$J$2:$J$51)</f>
        <v/>
      </c>
      <c r="J9" s="31">
        <f>D9-E9</f>
        <v/>
      </c>
      <c r="K9" s="33">
        <f>IF(C9=0,0,D9/C9)</f>
        <v/>
      </c>
      <c r="L9" s="5">
        <f>IF(K9&gt;1,"Rojo",IF(K9&gt;=0.8,"Amarillo","Verde"))</f>
        <v/>
      </c>
      <c r="M9" s="32">
        <f>RANK(D9,$D$2:$D$21,0)+COUNTIF($D$2:D9,D9)-1</f>
        <v/>
      </c>
    </row>
    <row r="10">
      <c r="A10" s="5" t="inlineStr">
        <is>
          <t>C009</t>
        </is>
      </c>
      <c r="B10" s="5">
        <f>IFERROR(INDEX(Clientes!$B$2:$B$21,MATCH(A10,Clientes!$A$2:$A$21,0)),"")</f>
        <v/>
      </c>
      <c r="C10" s="31">
        <f>IFERROR(INDEX(Clientes!$E$2:$E$21,MATCH(A10,Clientes!$A$2:$A$21,0)),0)</f>
        <v/>
      </c>
      <c r="D10" s="31">
        <f>SUMIFS(Cartera!$J$2:$J$51,Cartera!$B$2:$B$51,A10)</f>
        <v/>
      </c>
      <c r="E10" s="31">
        <f>SUMPRODUCT((Cartera!$B$2:$B$51=A10)*(Cartera!$L$2:$L$51="Vigente")*Cartera!$J$2:$J$51)</f>
        <v/>
      </c>
      <c r="F10" s="31">
        <f>SUMPRODUCT((Cartera!$B$2:$B$51=A10)*(Cartera!$M$2:$M$51="0-30")*Cartera!$J$2:$J$51)</f>
        <v/>
      </c>
      <c r="G10" s="31">
        <f>SUMPRODUCT((Cartera!$B$2:$B$51=A10)*(Cartera!$M$2:$M$51="31-60")*Cartera!$J$2:$J$51)</f>
        <v/>
      </c>
      <c r="H10" s="31">
        <f>SUMPRODUCT((Cartera!$B$2:$B$51=A10)*(Cartera!$M$2:$M$51="61-90")*Cartera!$J$2:$J$51)</f>
        <v/>
      </c>
      <c r="I10" s="31">
        <f>SUMPRODUCT((Cartera!$B$2:$B$51=A10)*(Cartera!$M$2:$M$51="&gt;90")*Cartera!$J$2:$J$51)</f>
        <v/>
      </c>
      <c r="J10" s="31">
        <f>D10-E10</f>
        <v/>
      </c>
      <c r="K10" s="33">
        <f>IF(C10=0,0,D10/C10)</f>
        <v/>
      </c>
      <c r="L10" s="5">
        <f>IF(K10&gt;1,"Rojo",IF(K10&gt;=0.8,"Amarillo","Verde"))</f>
        <v/>
      </c>
      <c r="M10" s="32">
        <f>RANK(D10,$D$2:$D$21,0)+COUNTIF($D$2:D10,D10)-1</f>
        <v/>
      </c>
    </row>
    <row r="11">
      <c r="A11" s="5" t="inlineStr">
        <is>
          <t>C010</t>
        </is>
      </c>
      <c r="B11" s="5">
        <f>IFERROR(INDEX(Clientes!$B$2:$B$21,MATCH(A11,Clientes!$A$2:$A$21,0)),"")</f>
        <v/>
      </c>
      <c r="C11" s="31">
        <f>IFERROR(INDEX(Clientes!$E$2:$E$21,MATCH(A11,Clientes!$A$2:$A$21,0)),0)</f>
        <v/>
      </c>
      <c r="D11" s="31">
        <f>SUMIFS(Cartera!$J$2:$J$51,Cartera!$B$2:$B$51,A11)</f>
        <v/>
      </c>
      <c r="E11" s="31">
        <f>SUMPRODUCT((Cartera!$B$2:$B$51=A11)*(Cartera!$L$2:$L$51="Vigente")*Cartera!$J$2:$J$51)</f>
        <v/>
      </c>
      <c r="F11" s="31">
        <f>SUMPRODUCT((Cartera!$B$2:$B$51=A11)*(Cartera!$M$2:$M$51="0-30")*Cartera!$J$2:$J$51)</f>
        <v/>
      </c>
      <c r="G11" s="31">
        <f>SUMPRODUCT((Cartera!$B$2:$B$51=A11)*(Cartera!$M$2:$M$51="31-60")*Cartera!$J$2:$J$51)</f>
        <v/>
      </c>
      <c r="H11" s="31">
        <f>SUMPRODUCT((Cartera!$B$2:$B$51=A11)*(Cartera!$M$2:$M$51="61-90")*Cartera!$J$2:$J$51)</f>
        <v/>
      </c>
      <c r="I11" s="31">
        <f>SUMPRODUCT((Cartera!$B$2:$B$51=A11)*(Cartera!$M$2:$M$51="&gt;90")*Cartera!$J$2:$J$51)</f>
        <v/>
      </c>
      <c r="J11" s="31">
        <f>D11-E11</f>
        <v/>
      </c>
      <c r="K11" s="33">
        <f>IF(C11=0,0,D11/C11)</f>
        <v/>
      </c>
      <c r="L11" s="5">
        <f>IF(K11&gt;1,"Rojo",IF(K11&gt;=0.8,"Amarillo","Verde"))</f>
        <v/>
      </c>
      <c r="M11" s="32">
        <f>RANK(D11,$D$2:$D$21,0)+COUNTIF($D$2:D11,D11)-1</f>
        <v/>
      </c>
    </row>
    <row r="12">
      <c r="A12" s="5" t="inlineStr">
        <is>
          <t>C011</t>
        </is>
      </c>
      <c r="B12" s="5">
        <f>IFERROR(INDEX(Clientes!$B$2:$B$21,MATCH(A12,Clientes!$A$2:$A$21,0)),"")</f>
        <v/>
      </c>
      <c r="C12" s="31">
        <f>IFERROR(INDEX(Clientes!$E$2:$E$21,MATCH(A12,Clientes!$A$2:$A$21,0)),0)</f>
        <v/>
      </c>
      <c r="D12" s="31">
        <f>SUMIFS(Cartera!$J$2:$J$51,Cartera!$B$2:$B$51,A12)</f>
        <v/>
      </c>
      <c r="E12" s="31">
        <f>SUMPRODUCT((Cartera!$B$2:$B$51=A12)*(Cartera!$L$2:$L$51="Vigente")*Cartera!$J$2:$J$51)</f>
        <v/>
      </c>
      <c r="F12" s="31">
        <f>SUMPRODUCT((Cartera!$B$2:$B$51=A12)*(Cartera!$M$2:$M$51="0-30")*Cartera!$J$2:$J$51)</f>
        <v/>
      </c>
      <c r="G12" s="31">
        <f>SUMPRODUCT((Cartera!$B$2:$B$51=A12)*(Cartera!$M$2:$M$51="31-60")*Cartera!$J$2:$J$51)</f>
        <v/>
      </c>
      <c r="H12" s="31">
        <f>SUMPRODUCT((Cartera!$B$2:$B$51=A12)*(Cartera!$M$2:$M$51="61-90")*Cartera!$J$2:$J$51)</f>
        <v/>
      </c>
      <c r="I12" s="31">
        <f>SUMPRODUCT((Cartera!$B$2:$B$51=A12)*(Cartera!$M$2:$M$51="&gt;90")*Cartera!$J$2:$J$51)</f>
        <v/>
      </c>
      <c r="J12" s="31">
        <f>D12-E12</f>
        <v/>
      </c>
      <c r="K12" s="33">
        <f>IF(C12=0,0,D12/C12)</f>
        <v/>
      </c>
      <c r="L12" s="5">
        <f>IF(K12&gt;1,"Rojo",IF(K12&gt;=0.8,"Amarillo","Verde"))</f>
        <v/>
      </c>
      <c r="M12" s="32">
        <f>RANK(D12,$D$2:$D$21,0)+COUNTIF($D$2:D12,D12)-1</f>
        <v/>
      </c>
    </row>
    <row r="13">
      <c r="A13" s="5" t="inlineStr">
        <is>
          <t>C012</t>
        </is>
      </c>
      <c r="B13" s="5">
        <f>IFERROR(INDEX(Clientes!$B$2:$B$21,MATCH(A13,Clientes!$A$2:$A$21,0)),"")</f>
        <v/>
      </c>
      <c r="C13" s="31">
        <f>IFERROR(INDEX(Clientes!$E$2:$E$21,MATCH(A13,Clientes!$A$2:$A$21,0)),0)</f>
        <v/>
      </c>
      <c r="D13" s="31">
        <f>SUMIFS(Cartera!$J$2:$J$51,Cartera!$B$2:$B$51,A13)</f>
        <v/>
      </c>
      <c r="E13" s="31">
        <f>SUMPRODUCT((Cartera!$B$2:$B$51=A13)*(Cartera!$L$2:$L$51="Vigente")*Cartera!$J$2:$J$51)</f>
        <v/>
      </c>
      <c r="F13" s="31">
        <f>SUMPRODUCT((Cartera!$B$2:$B$51=A13)*(Cartera!$M$2:$M$51="0-30")*Cartera!$J$2:$J$51)</f>
        <v/>
      </c>
      <c r="G13" s="31">
        <f>SUMPRODUCT((Cartera!$B$2:$B$51=A13)*(Cartera!$M$2:$M$51="31-60")*Cartera!$J$2:$J$51)</f>
        <v/>
      </c>
      <c r="H13" s="31">
        <f>SUMPRODUCT((Cartera!$B$2:$B$51=A13)*(Cartera!$M$2:$M$51="61-90")*Cartera!$J$2:$J$51)</f>
        <v/>
      </c>
      <c r="I13" s="31">
        <f>SUMPRODUCT((Cartera!$B$2:$B$51=A13)*(Cartera!$M$2:$M$51="&gt;90")*Cartera!$J$2:$J$51)</f>
        <v/>
      </c>
      <c r="J13" s="31">
        <f>D13-E13</f>
        <v/>
      </c>
      <c r="K13" s="33">
        <f>IF(C13=0,0,D13/C13)</f>
        <v/>
      </c>
      <c r="L13" s="5">
        <f>IF(K13&gt;1,"Rojo",IF(K13&gt;=0.8,"Amarillo","Verde"))</f>
        <v/>
      </c>
      <c r="M13" s="32">
        <f>RANK(D13,$D$2:$D$21,0)+COUNTIF($D$2:D13,D13)-1</f>
        <v/>
      </c>
    </row>
    <row r="14">
      <c r="A14" s="5" t="inlineStr">
        <is>
          <t>C013</t>
        </is>
      </c>
      <c r="B14" s="5">
        <f>IFERROR(INDEX(Clientes!$B$2:$B$21,MATCH(A14,Clientes!$A$2:$A$21,0)),"")</f>
        <v/>
      </c>
      <c r="C14" s="31">
        <f>IFERROR(INDEX(Clientes!$E$2:$E$21,MATCH(A14,Clientes!$A$2:$A$21,0)),0)</f>
        <v/>
      </c>
      <c r="D14" s="31">
        <f>SUMIFS(Cartera!$J$2:$J$51,Cartera!$B$2:$B$51,A14)</f>
        <v/>
      </c>
      <c r="E14" s="31">
        <f>SUMPRODUCT((Cartera!$B$2:$B$51=A14)*(Cartera!$L$2:$L$51="Vigente")*Cartera!$J$2:$J$51)</f>
        <v/>
      </c>
      <c r="F14" s="31">
        <f>SUMPRODUCT((Cartera!$B$2:$B$51=A14)*(Cartera!$M$2:$M$51="0-30")*Cartera!$J$2:$J$51)</f>
        <v/>
      </c>
      <c r="G14" s="31">
        <f>SUMPRODUCT((Cartera!$B$2:$B$51=A14)*(Cartera!$M$2:$M$51="31-60")*Cartera!$J$2:$J$51)</f>
        <v/>
      </c>
      <c r="H14" s="31">
        <f>SUMPRODUCT((Cartera!$B$2:$B$51=A14)*(Cartera!$M$2:$M$51="61-90")*Cartera!$J$2:$J$51)</f>
        <v/>
      </c>
      <c r="I14" s="31">
        <f>SUMPRODUCT((Cartera!$B$2:$B$51=A14)*(Cartera!$M$2:$M$51="&gt;90")*Cartera!$J$2:$J$51)</f>
        <v/>
      </c>
      <c r="J14" s="31">
        <f>D14-E14</f>
        <v/>
      </c>
      <c r="K14" s="33">
        <f>IF(C14=0,0,D14/C14)</f>
        <v/>
      </c>
      <c r="L14" s="5">
        <f>IF(K14&gt;1,"Rojo",IF(K14&gt;=0.8,"Amarillo","Verde"))</f>
        <v/>
      </c>
      <c r="M14" s="32">
        <f>RANK(D14,$D$2:$D$21,0)+COUNTIF($D$2:D14,D14)-1</f>
        <v/>
      </c>
    </row>
    <row r="15">
      <c r="A15" s="5" t="inlineStr">
        <is>
          <t>C014</t>
        </is>
      </c>
      <c r="B15" s="5">
        <f>IFERROR(INDEX(Clientes!$B$2:$B$21,MATCH(A15,Clientes!$A$2:$A$21,0)),"")</f>
        <v/>
      </c>
      <c r="C15" s="31">
        <f>IFERROR(INDEX(Clientes!$E$2:$E$21,MATCH(A15,Clientes!$A$2:$A$21,0)),0)</f>
        <v/>
      </c>
      <c r="D15" s="31">
        <f>SUMIFS(Cartera!$J$2:$J$51,Cartera!$B$2:$B$51,A15)</f>
        <v/>
      </c>
      <c r="E15" s="31">
        <f>SUMPRODUCT((Cartera!$B$2:$B$51=A15)*(Cartera!$L$2:$L$51="Vigente")*Cartera!$J$2:$J$51)</f>
        <v/>
      </c>
      <c r="F15" s="31">
        <f>SUMPRODUCT((Cartera!$B$2:$B$51=A15)*(Cartera!$M$2:$M$51="0-30")*Cartera!$J$2:$J$51)</f>
        <v/>
      </c>
      <c r="G15" s="31">
        <f>SUMPRODUCT((Cartera!$B$2:$B$51=A15)*(Cartera!$M$2:$M$51="31-60")*Cartera!$J$2:$J$51)</f>
        <v/>
      </c>
      <c r="H15" s="31">
        <f>SUMPRODUCT((Cartera!$B$2:$B$51=A15)*(Cartera!$M$2:$M$51="61-90")*Cartera!$J$2:$J$51)</f>
        <v/>
      </c>
      <c r="I15" s="31">
        <f>SUMPRODUCT((Cartera!$B$2:$B$51=A15)*(Cartera!$M$2:$M$51="&gt;90")*Cartera!$J$2:$J$51)</f>
        <v/>
      </c>
      <c r="J15" s="31">
        <f>D15-E15</f>
        <v/>
      </c>
      <c r="K15" s="33">
        <f>IF(C15=0,0,D15/C15)</f>
        <v/>
      </c>
      <c r="L15" s="5">
        <f>IF(K15&gt;1,"Rojo",IF(K15&gt;=0.8,"Amarillo","Verde"))</f>
        <v/>
      </c>
      <c r="M15" s="32">
        <f>RANK(D15,$D$2:$D$21,0)+COUNTIF($D$2:D15,D15)-1</f>
        <v/>
      </c>
    </row>
    <row r="16">
      <c r="A16" s="5" t="inlineStr">
        <is>
          <t>C015</t>
        </is>
      </c>
      <c r="B16" s="5">
        <f>IFERROR(INDEX(Clientes!$B$2:$B$21,MATCH(A16,Clientes!$A$2:$A$21,0)),"")</f>
        <v/>
      </c>
      <c r="C16" s="31">
        <f>IFERROR(INDEX(Clientes!$E$2:$E$21,MATCH(A16,Clientes!$A$2:$A$21,0)),0)</f>
        <v/>
      </c>
      <c r="D16" s="31">
        <f>SUMIFS(Cartera!$J$2:$J$51,Cartera!$B$2:$B$51,A16)</f>
        <v/>
      </c>
      <c r="E16" s="31">
        <f>SUMPRODUCT((Cartera!$B$2:$B$51=A16)*(Cartera!$L$2:$L$51="Vigente")*Cartera!$J$2:$J$51)</f>
        <v/>
      </c>
      <c r="F16" s="31">
        <f>SUMPRODUCT((Cartera!$B$2:$B$51=A16)*(Cartera!$M$2:$M$51="0-30")*Cartera!$J$2:$J$51)</f>
        <v/>
      </c>
      <c r="G16" s="31">
        <f>SUMPRODUCT((Cartera!$B$2:$B$51=A16)*(Cartera!$M$2:$M$51="31-60")*Cartera!$J$2:$J$51)</f>
        <v/>
      </c>
      <c r="H16" s="31">
        <f>SUMPRODUCT((Cartera!$B$2:$B$51=A16)*(Cartera!$M$2:$M$51="61-90")*Cartera!$J$2:$J$51)</f>
        <v/>
      </c>
      <c r="I16" s="31">
        <f>SUMPRODUCT((Cartera!$B$2:$B$51=A16)*(Cartera!$M$2:$M$51="&gt;90")*Cartera!$J$2:$J$51)</f>
        <v/>
      </c>
      <c r="J16" s="31">
        <f>D16-E16</f>
        <v/>
      </c>
      <c r="K16" s="33">
        <f>IF(C16=0,0,D16/C16)</f>
        <v/>
      </c>
      <c r="L16" s="5">
        <f>IF(K16&gt;1,"Rojo",IF(K16&gt;=0.8,"Amarillo","Verde"))</f>
        <v/>
      </c>
      <c r="M16" s="32">
        <f>RANK(D16,$D$2:$D$21,0)+COUNTIF($D$2:D16,D16)-1</f>
        <v/>
      </c>
    </row>
    <row r="17">
      <c r="A17" s="5" t="inlineStr">
        <is>
          <t>C016</t>
        </is>
      </c>
      <c r="B17" s="5">
        <f>IFERROR(INDEX(Clientes!$B$2:$B$21,MATCH(A17,Clientes!$A$2:$A$21,0)),"")</f>
        <v/>
      </c>
      <c r="C17" s="31">
        <f>IFERROR(INDEX(Clientes!$E$2:$E$21,MATCH(A17,Clientes!$A$2:$A$21,0)),0)</f>
        <v/>
      </c>
      <c r="D17" s="31">
        <f>SUMIFS(Cartera!$J$2:$J$51,Cartera!$B$2:$B$51,A17)</f>
        <v/>
      </c>
      <c r="E17" s="31">
        <f>SUMPRODUCT((Cartera!$B$2:$B$51=A17)*(Cartera!$L$2:$L$51="Vigente")*Cartera!$J$2:$J$51)</f>
        <v/>
      </c>
      <c r="F17" s="31">
        <f>SUMPRODUCT((Cartera!$B$2:$B$51=A17)*(Cartera!$M$2:$M$51="0-30")*Cartera!$J$2:$J$51)</f>
        <v/>
      </c>
      <c r="G17" s="31">
        <f>SUMPRODUCT((Cartera!$B$2:$B$51=A17)*(Cartera!$M$2:$M$51="31-60")*Cartera!$J$2:$J$51)</f>
        <v/>
      </c>
      <c r="H17" s="31">
        <f>SUMPRODUCT((Cartera!$B$2:$B$51=A17)*(Cartera!$M$2:$M$51="61-90")*Cartera!$J$2:$J$51)</f>
        <v/>
      </c>
      <c r="I17" s="31">
        <f>SUMPRODUCT((Cartera!$B$2:$B$51=A17)*(Cartera!$M$2:$M$51="&gt;90")*Cartera!$J$2:$J$51)</f>
        <v/>
      </c>
      <c r="J17" s="31">
        <f>D17-E17</f>
        <v/>
      </c>
      <c r="K17" s="33">
        <f>IF(C17=0,0,D17/C17)</f>
        <v/>
      </c>
      <c r="L17" s="5">
        <f>IF(K17&gt;1,"Rojo",IF(K17&gt;=0.8,"Amarillo","Verde"))</f>
        <v/>
      </c>
      <c r="M17" s="32">
        <f>RANK(D17,$D$2:$D$21,0)+COUNTIF($D$2:D17,D17)-1</f>
        <v/>
      </c>
    </row>
    <row r="18">
      <c r="A18" s="5" t="inlineStr">
        <is>
          <t>C017</t>
        </is>
      </c>
      <c r="B18" s="5">
        <f>IFERROR(INDEX(Clientes!$B$2:$B$21,MATCH(A18,Clientes!$A$2:$A$21,0)),"")</f>
        <v/>
      </c>
      <c r="C18" s="31">
        <f>IFERROR(INDEX(Clientes!$E$2:$E$21,MATCH(A18,Clientes!$A$2:$A$21,0)),0)</f>
        <v/>
      </c>
      <c r="D18" s="31">
        <f>SUMIFS(Cartera!$J$2:$J$51,Cartera!$B$2:$B$51,A18)</f>
        <v/>
      </c>
      <c r="E18" s="31">
        <f>SUMPRODUCT((Cartera!$B$2:$B$51=A18)*(Cartera!$L$2:$L$51="Vigente")*Cartera!$J$2:$J$51)</f>
        <v/>
      </c>
      <c r="F18" s="31">
        <f>SUMPRODUCT((Cartera!$B$2:$B$51=A18)*(Cartera!$M$2:$M$51="0-30")*Cartera!$J$2:$J$51)</f>
        <v/>
      </c>
      <c r="G18" s="31">
        <f>SUMPRODUCT((Cartera!$B$2:$B$51=A18)*(Cartera!$M$2:$M$51="31-60")*Cartera!$J$2:$J$51)</f>
        <v/>
      </c>
      <c r="H18" s="31">
        <f>SUMPRODUCT((Cartera!$B$2:$B$51=A18)*(Cartera!$M$2:$M$51="61-90")*Cartera!$J$2:$J$51)</f>
        <v/>
      </c>
      <c r="I18" s="31">
        <f>SUMPRODUCT((Cartera!$B$2:$B$51=A18)*(Cartera!$M$2:$M$51="&gt;90")*Cartera!$J$2:$J$51)</f>
        <v/>
      </c>
      <c r="J18" s="31">
        <f>D18-E18</f>
        <v/>
      </c>
      <c r="K18" s="33">
        <f>IF(C18=0,0,D18/C18)</f>
        <v/>
      </c>
      <c r="L18" s="5">
        <f>IF(K18&gt;1,"Rojo",IF(K18&gt;=0.8,"Amarillo","Verde"))</f>
        <v/>
      </c>
      <c r="M18" s="32">
        <f>RANK(D18,$D$2:$D$21,0)+COUNTIF($D$2:D18,D18)-1</f>
        <v/>
      </c>
    </row>
    <row r="19">
      <c r="A19" s="5" t="inlineStr">
        <is>
          <t>C018</t>
        </is>
      </c>
      <c r="B19" s="5">
        <f>IFERROR(INDEX(Clientes!$B$2:$B$21,MATCH(A19,Clientes!$A$2:$A$21,0)),"")</f>
        <v/>
      </c>
      <c r="C19" s="31">
        <f>IFERROR(INDEX(Clientes!$E$2:$E$21,MATCH(A19,Clientes!$A$2:$A$21,0)),0)</f>
        <v/>
      </c>
      <c r="D19" s="31">
        <f>SUMIFS(Cartera!$J$2:$J$51,Cartera!$B$2:$B$51,A19)</f>
        <v/>
      </c>
      <c r="E19" s="31">
        <f>SUMPRODUCT((Cartera!$B$2:$B$51=A19)*(Cartera!$L$2:$L$51="Vigente")*Cartera!$J$2:$J$51)</f>
        <v/>
      </c>
      <c r="F19" s="31">
        <f>SUMPRODUCT((Cartera!$B$2:$B$51=A19)*(Cartera!$M$2:$M$51="0-30")*Cartera!$J$2:$J$51)</f>
        <v/>
      </c>
      <c r="G19" s="31">
        <f>SUMPRODUCT((Cartera!$B$2:$B$51=A19)*(Cartera!$M$2:$M$51="31-60")*Cartera!$J$2:$J$51)</f>
        <v/>
      </c>
      <c r="H19" s="31">
        <f>SUMPRODUCT((Cartera!$B$2:$B$51=A19)*(Cartera!$M$2:$M$51="61-90")*Cartera!$J$2:$J$51)</f>
        <v/>
      </c>
      <c r="I19" s="31">
        <f>SUMPRODUCT((Cartera!$B$2:$B$51=A19)*(Cartera!$M$2:$M$51="&gt;90")*Cartera!$J$2:$J$51)</f>
        <v/>
      </c>
      <c r="J19" s="31">
        <f>D19-E19</f>
        <v/>
      </c>
      <c r="K19" s="33">
        <f>IF(C19=0,0,D19/C19)</f>
        <v/>
      </c>
      <c r="L19" s="5">
        <f>IF(K19&gt;1,"Rojo",IF(K19&gt;=0.8,"Amarillo","Verde"))</f>
        <v/>
      </c>
      <c r="M19" s="32">
        <f>RANK(D19,$D$2:$D$21,0)+COUNTIF($D$2:D19,D19)-1</f>
        <v/>
      </c>
    </row>
    <row r="20">
      <c r="A20" s="5" t="inlineStr">
        <is>
          <t>C019</t>
        </is>
      </c>
      <c r="B20" s="5">
        <f>IFERROR(INDEX(Clientes!$B$2:$B$21,MATCH(A20,Clientes!$A$2:$A$21,0)),"")</f>
        <v/>
      </c>
      <c r="C20" s="31">
        <f>IFERROR(INDEX(Clientes!$E$2:$E$21,MATCH(A20,Clientes!$A$2:$A$21,0)),0)</f>
        <v/>
      </c>
      <c r="D20" s="31">
        <f>SUMIFS(Cartera!$J$2:$J$51,Cartera!$B$2:$B$51,A20)</f>
        <v/>
      </c>
      <c r="E20" s="31">
        <f>SUMPRODUCT((Cartera!$B$2:$B$51=A20)*(Cartera!$L$2:$L$51="Vigente")*Cartera!$J$2:$J$51)</f>
        <v/>
      </c>
      <c r="F20" s="31">
        <f>SUMPRODUCT((Cartera!$B$2:$B$51=A20)*(Cartera!$M$2:$M$51="0-30")*Cartera!$J$2:$J$51)</f>
        <v/>
      </c>
      <c r="G20" s="31">
        <f>SUMPRODUCT((Cartera!$B$2:$B$51=A20)*(Cartera!$M$2:$M$51="31-60")*Cartera!$J$2:$J$51)</f>
        <v/>
      </c>
      <c r="H20" s="31">
        <f>SUMPRODUCT((Cartera!$B$2:$B$51=A20)*(Cartera!$M$2:$M$51="61-90")*Cartera!$J$2:$J$51)</f>
        <v/>
      </c>
      <c r="I20" s="31">
        <f>SUMPRODUCT((Cartera!$B$2:$B$51=A20)*(Cartera!$M$2:$M$51="&gt;90")*Cartera!$J$2:$J$51)</f>
        <v/>
      </c>
      <c r="J20" s="31">
        <f>D20-E20</f>
        <v/>
      </c>
      <c r="K20" s="33">
        <f>IF(C20=0,0,D20/C20)</f>
        <v/>
      </c>
      <c r="L20" s="5">
        <f>IF(K20&gt;1,"Rojo",IF(K20&gt;=0.8,"Amarillo","Verde"))</f>
        <v/>
      </c>
      <c r="M20" s="32">
        <f>RANK(D20,$D$2:$D$21,0)+COUNTIF($D$2:D20,D20)-1</f>
        <v/>
      </c>
    </row>
    <row r="21">
      <c r="A21" s="5" t="inlineStr">
        <is>
          <t>C020</t>
        </is>
      </c>
      <c r="B21" s="5">
        <f>IFERROR(INDEX(Clientes!$B$2:$B$21,MATCH(A21,Clientes!$A$2:$A$21,0)),"")</f>
        <v/>
      </c>
      <c r="C21" s="31">
        <f>IFERROR(INDEX(Clientes!$E$2:$E$21,MATCH(A21,Clientes!$A$2:$A$21,0)),0)</f>
        <v/>
      </c>
      <c r="D21" s="31">
        <f>SUMIFS(Cartera!$J$2:$J$51,Cartera!$B$2:$B$51,A21)</f>
        <v/>
      </c>
      <c r="E21" s="31">
        <f>SUMPRODUCT((Cartera!$B$2:$B$51=A21)*(Cartera!$L$2:$L$51="Vigente")*Cartera!$J$2:$J$51)</f>
        <v/>
      </c>
      <c r="F21" s="31">
        <f>SUMPRODUCT((Cartera!$B$2:$B$51=A21)*(Cartera!$M$2:$M$51="0-30")*Cartera!$J$2:$J$51)</f>
        <v/>
      </c>
      <c r="G21" s="31">
        <f>SUMPRODUCT((Cartera!$B$2:$B$51=A21)*(Cartera!$M$2:$M$51="31-60")*Cartera!$J$2:$J$51)</f>
        <v/>
      </c>
      <c r="H21" s="31">
        <f>SUMPRODUCT((Cartera!$B$2:$B$51=A21)*(Cartera!$M$2:$M$51="61-90")*Cartera!$J$2:$J$51)</f>
        <v/>
      </c>
      <c r="I21" s="31">
        <f>SUMPRODUCT((Cartera!$B$2:$B$51=A21)*(Cartera!$M$2:$M$51="&gt;90")*Cartera!$J$2:$J$51)</f>
        <v/>
      </c>
      <c r="J21" s="31">
        <f>D21-E21</f>
        <v/>
      </c>
      <c r="K21" s="33">
        <f>IF(C21=0,0,D21/C21)</f>
        <v/>
      </c>
      <c r="L21" s="5">
        <f>IF(K21&gt;1,"Rojo",IF(K21&gt;=0.8,"Amarillo","Verde"))</f>
        <v/>
      </c>
      <c r="M21" s="32">
        <f>RANK(D21,$D$2:$D$21,0)+COUNTIF($D$2:D21,D21)-1</f>
        <v/>
      </c>
    </row>
    <row r="22">
      <c r="A22" s="21" t="inlineStr">
        <is>
          <t>TOTAL</t>
        </is>
      </c>
      <c r="B22" s="21" t="n"/>
      <c r="C22" s="22">
        <f>SUM(C2:C21)</f>
        <v/>
      </c>
      <c r="D22" s="22">
        <f>SUM(D2:D21)</f>
        <v/>
      </c>
      <c r="E22" s="22">
        <f>SUM(E2:E21)</f>
        <v/>
      </c>
      <c r="F22" s="22">
        <f>SUM(F2:F21)</f>
        <v/>
      </c>
      <c r="G22" s="22">
        <f>SUM(G2:G21)</f>
        <v/>
      </c>
      <c r="H22" s="22">
        <f>SUM(H2:H21)</f>
        <v/>
      </c>
      <c r="I22" s="22">
        <f>SUM(I2:I21)</f>
        <v/>
      </c>
      <c r="J22" s="22">
        <f>SUM(J2:J21)</f>
        <v/>
      </c>
      <c r="K22" s="23">
        <f>IF(C22=0,0,D22/C22)</f>
        <v/>
      </c>
      <c r="L22" s="34" t="n"/>
      <c r="M22" s="34" t="n"/>
    </row>
  </sheetData>
  <autoFilter ref="A1:M21"/>
  <conditionalFormatting sqref="L2:L21">
    <cfRule type="expression" priority="1" dxfId="0">
      <formula>$L2="Rojo"</formula>
    </cfRule>
    <cfRule type="expression" priority="2" dxfId="1">
      <formula>$L2="Amarillo"</formula>
    </cfRule>
    <cfRule type="expression" priority="3" dxfId="2">
      <formula>$L2="Verde"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A7F8F"/>
    <outlinePr summaryBelow="1" summaryRight="1"/>
    <pageSetUpPr/>
  </sheetPr>
  <dimension ref="A1:I38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15" customWidth="1" min="4" max="4"/>
    <col width="12" customWidth="1" min="5" max="5"/>
    <col width="15" customWidth="1" min="6" max="6"/>
    <col width="15" customWidth="1" min="7" max="7"/>
    <col width="20" customWidth="1" min="8" max="8"/>
    <col width="38" customWidth="1" min="9" max="9"/>
  </cols>
  <sheetData>
    <row r="1" ht="32" customHeight="1">
      <c r="A1" s="29" t="inlineStr">
        <is>
          <t>Referencia</t>
        </is>
      </c>
      <c r="B1" s="29" t="inlineStr">
        <is>
          <t>PagoID</t>
        </is>
      </c>
      <c r="C1" s="29" t="inlineStr">
        <is>
          <t>FechaPago</t>
        </is>
      </c>
      <c r="D1" s="29" t="inlineStr">
        <is>
          <t>ValorPago</t>
        </is>
      </c>
      <c r="E1" s="29" t="inlineStr">
        <is>
          <t>FechaBanco</t>
        </is>
      </c>
      <c r="F1" s="29" t="inlineStr">
        <is>
          <t>ValorBanco</t>
        </is>
      </c>
      <c r="G1" s="29" t="inlineStr">
        <is>
          <t>Diferencia</t>
        </is>
      </c>
      <c r="H1" s="29" t="inlineStr">
        <is>
          <t>Estado</t>
        </is>
      </c>
      <c r="I1" s="29" t="inlineStr">
        <is>
          <t>Observacion</t>
        </is>
      </c>
    </row>
    <row r="2">
      <c r="A2" s="5">
        <f>Pagos!J2</f>
        <v/>
      </c>
      <c r="B2" s="5">
        <f>Pagos!A2</f>
        <v/>
      </c>
      <c r="C2" s="30">
        <f>Pagos!D2</f>
        <v/>
      </c>
      <c r="D2" s="31">
        <f>Pagos!E2</f>
        <v/>
      </c>
      <c r="E2" s="30">
        <f>IFERROR(INDEX(Extracto!$A$2:$A$36,MATCH(A2,Extracto!$B$2:$B$36,0)),"")</f>
        <v/>
      </c>
      <c r="F2" s="31">
        <f>SUMIFS(Extracto!$D$2:$D$36,Extracto!$B$2:$B$36,A2)</f>
        <v/>
      </c>
      <c r="G2" s="31">
        <f>F2-D2</f>
        <v/>
      </c>
      <c r="H2" s="5">
        <f>IF(F2=0,"Pago sin banco",IF(ABS(G2)&lt;1,"Conciliado","Diferencia de valor"))</f>
        <v/>
      </c>
      <c r="I2" s="5">
        <f>IF(H2="Conciliado","",IF(H2="Pago sin banco","Registrado en cartera, no en banco",IF(H2="Diferencia de valor","Diferencia entre recaudo y extracto","")))</f>
        <v/>
      </c>
    </row>
    <row r="3">
      <c r="A3" s="5">
        <f>Pagos!J3</f>
        <v/>
      </c>
      <c r="B3" s="5">
        <f>Pagos!A3</f>
        <v/>
      </c>
      <c r="C3" s="30">
        <f>Pagos!D3</f>
        <v/>
      </c>
      <c r="D3" s="31">
        <f>Pagos!E3</f>
        <v/>
      </c>
      <c r="E3" s="30">
        <f>IFERROR(INDEX(Extracto!$A$2:$A$36,MATCH(A3,Extracto!$B$2:$B$36,0)),"")</f>
        <v/>
      </c>
      <c r="F3" s="31">
        <f>SUMIFS(Extracto!$D$2:$D$36,Extracto!$B$2:$B$36,A3)</f>
        <v/>
      </c>
      <c r="G3" s="31">
        <f>F3-D3</f>
        <v/>
      </c>
      <c r="H3" s="5">
        <f>IF(F3=0,"Pago sin banco",IF(ABS(G3)&lt;1,"Conciliado","Diferencia de valor"))</f>
        <v/>
      </c>
      <c r="I3" s="5">
        <f>IF(H3="Conciliado","",IF(H3="Pago sin banco","Registrado en cartera, no en banco",IF(H3="Diferencia de valor","Diferencia entre recaudo y extracto","")))</f>
        <v/>
      </c>
    </row>
    <row r="4">
      <c r="A4" s="5">
        <f>Pagos!J4</f>
        <v/>
      </c>
      <c r="B4" s="5">
        <f>Pagos!A4</f>
        <v/>
      </c>
      <c r="C4" s="30">
        <f>Pagos!D4</f>
        <v/>
      </c>
      <c r="D4" s="31">
        <f>Pagos!E4</f>
        <v/>
      </c>
      <c r="E4" s="30">
        <f>IFERROR(INDEX(Extracto!$A$2:$A$36,MATCH(A4,Extracto!$B$2:$B$36,0)),"")</f>
        <v/>
      </c>
      <c r="F4" s="31">
        <f>SUMIFS(Extracto!$D$2:$D$36,Extracto!$B$2:$B$36,A4)</f>
        <v/>
      </c>
      <c r="G4" s="31">
        <f>F4-D4</f>
        <v/>
      </c>
      <c r="H4" s="5">
        <f>IF(F4=0,"Pago sin banco",IF(ABS(G4)&lt;1,"Conciliado","Diferencia de valor"))</f>
        <v/>
      </c>
      <c r="I4" s="5">
        <f>IF(H4="Conciliado","",IF(H4="Pago sin banco","Registrado en cartera, no en banco",IF(H4="Diferencia de valor","Diferencia entre recaudo y extracto","")))</f>
        <v/>
      </c>
    </row>
    <row r="5">
      <c r="A5" s="5">
        <f>Pagos!J5</f>
        <v/>
      </c>
      <c r="B5" s="5">
        <f>Pagos!A5</f>
        <v/>
      </c>
      <c r="C5" s="30">
        <f>Pagos!D5</f>
        <v/>
      </c>
      <c r="D5" s="31">
        <f>Pagos!E5</f>
        <v/>
      </c>
      <c r="E5" s="30">
        <f>IFERROR(INDEX(Extracto!$A$2:$A$36,MATCH(A5,Extracto!$B$2:$B$36,0)),"")</f>
        <v/>
      </c>
      <c r="F5" s="31">
        <f>SUMIFS(Extracto!$D$2:$D$36,Extracto!$B$2:$B$36,A5)</f>
        <v/>
      </c>
      <c r="G5" s="31">
        <f>F5-D5</f>
        <v/>
      </c>
      <c r="H5" s="5">
        <f>IF(F5=0,"Pago sin banco",IF(ABS(G5)&lt;1,"Conciliado","Diferencia de valor"))</f>
        <v/>
      </c>
      <c r="I5" s="5">
        <f>IF(H5="Conciliado","",IF(H5="Pago sin banco","Registrado en cartera, no en banco",IF(H5="Diferencia de valor","Diferencia entre recaudo y extracto","")))</f>
        <v/>
      </c>
    </row>
    <row r="6">
      <c r="A6" s="5">
        <f>Pagos!J6</f>
        <v/>
      </c>
      <c r="B6" s="5">
        <f>Pagos!A6</f>
        <v/>
      </c>
      <c r="C6" s="30">
        <f>Pagos!D6</f>
        <v/>
      </c>
      <c r="D6" s="31">
        <f>Pagos!E6</f>
        <v/>
      </c>
      <c r="E6" s="30">
        <f>IFERROR(INDEX(Extracto!$A$2:$A$36,MATCH(A6,Extracto!$B$2:$B$36,0)),"")</f>
        <v/>
      </c>
      <c r="F6" s="31">
        <f>SUMIFS(Extracto!$D$2:$D$36,Extracto!$B$2:$B$36,A6)</f>
        <v/>
      </c>
      <c r="G6" s="31">
        <f>F6-D6</f>
        <v/>
      </c>
      <c r="H6" s="5">
        <f>IF(F6=0,"Pago sin banco",IF(ABS(G6)&lt;1,"Conciliado","Diferencia de valor"))</f>
        <v/>
      </c>
      <c r="I6" s="5">
        <f>IF(H6="Conciliado","",IF(H6="Pago sin banco","Registrado en cartera, no en banco",IF(H6="Diferencia de valor","Diferencia entre recaudo y extracto","")))</f>
        <v/>
      </c>
    </row>
    <row r="7">
      <c r="A7" s="5">
        <f>Pagos!J7</f>
        <v/>
      </c>
      <c r="B7" s="5">
        <f>Pagos!A7</f>
        <v/>
      </c>
      <c r="C7" s="30">
        <f>Pagos!D7</f>
        <v/>
      </c>
      <c r="D7" s="31">
        <f>Pagos!E7</f>
        <v/>
      </c>
      <c r="E7" s="30">
        <f>IFERROR(INDEX(Extracto!$A$2:$A$36,MATCH(A7,Extracto!$B$2:$B$36,0)),"")</f>
        <v/>
      </c>
      <c r="F7" s="31">
        <f>SUMIFS(Extracto!$D$2:$D$36,Extracto!$B$2:$B$36,A7)</f>
        <v/>
      </c>
      <c r="G7" s="31">
        <f>F7-D7</f>
        <v/>
      </c>
      <c r="H7" s="5">
        <f>IF(F7=0,"Pago sin banco",IF(ABS(G7)&lt;1,"Conciliado","Diferencia de valor"))</f>
        <v/>
      </c>
      <c r="I7" s="5">
        <f>IF(H7="Conciliado","",IF(H7="Pago sin banco","Registrado en cartera, no en banco",IF(H7="Diferencia de valor","Diferencia entre recaudo y extracto","")))</f>
        <v/>
      </c>
    </row>
    <row r="8">
      <c r="A8" s="5">
        <f>Pagos!J8</f>
        <v/>
      </c>
      <c r="B8" s="5">
        <f>Pagos!A8</f>
        <v/>
      </c>
      <c r="C8" s="30">
        <f>Pagos!D8</f>
        <v/>
      </c>
      <c r="D8" s="31">
        <f>Pagos!E8</f>
        <v/>
      </c>
      <c r="E8" s="30">
        <f>IFERROR(INDEX(Extracto!$A$2:$A$36,MATCH(A8,Extracto!$B$2:$B$36,0)),"")</f>
        <v/>
      </c>
      <c r="F8" s="31">
        <f>SUMIFS(Extracto!$D$2:$D$36,Extracto!$B$2:$B$36,A8)</f>
        <v/>
      </c>
      <c r="G8" s="31">
        <f>F8-D8</f>
        <v/>
      </c>
      <c r="H8" s="5">
        <f>IF(F8=0,"Pago sin banco",IF(ABS(G8)&lt;1,"Conciliado","Diferencia de valor"))</f>
        <v/>
      </c>
      <c r="I8" s="5">
        <f>IF(H8="Conciliado","",IF(H8="Pago sin banco","Registrado en cartera, no en banco",IF(H8="Diferencia de valor","Diferencia entre recaudo y extracto","")))</f>
        <v/>
      </c>
    </row>
    <row r="9">
      <c r="A9" s="5">
        <f>Pagos!J9</f>
        <v/>
      </c>
      <c r="B9" s="5">
        <f>Pagos!A9</f>
        <v/>
      </c>
      <c r="C9" s="30">
        <f>Pagos!D9</f>
        <v/>
      </c>
      <c r="D9" s="31">
        <f>Pagos!E9</f>
        <v/>
      </c>
      <c r="E9" s="30">
        <f>IFERROR(INDEX(Extracto!$A$2:$A$36,MATCH(A9,Extracto!$B$2:$B$36,0)),"")</f>
        <v/>
      </c>
      <c r="F9" s="31">
        <f>SUMIFS(Extracto!$D$2:$D$36,Extracto!$B$2:$B$36,A9)</f>
        <v/>
      </c>
      <c r="G9" s="31">
        <f>F9-D9</f>
        <v/>
      </c>
      <c r="H9" s="5">
        <f>IF(F9=0,"Pago sin banco",IF(ABS(G9)&lt;1,"Conciliado","Diferencia de valor"))</f>
        <v/>
      </c>
      <c r="I9" s="5">
        <f>IF(H9="Conciliado","",IF(H9="Pago sin banco","Registrado en cartera, no en banco",IF(H9="Diferencia de valor","Diferencia entre recaudo y extracto","")))</f>
        <v/>
      </c>
    </row>
    <row r="10">
      <c r="A10" s="5">
        <f>Pagos!J10</f>
        <v/>
      </c>
      <c r="B10" s="5">
        <f>Pagos!A10</f>
        <v/>
      </c>
      <c r="C10" s="30">
        <f>Pagos!D10</f>
        <v/>
      </c>
      <c r="D10" s="31">
        <f>Pagos!E10</f>
        <v/>
      </c>
      <c r="E10" s="30">
        <f>IFERROR(INDEX(Extracto!$A$2:$A$36,MATCH(A10,Extracto!$B$2:$B$36,0)),"")</f>
        <v/>
      </c>
      <c r="F10" s="31">
        <f>SUMIFS(Extracto!$D$2:$D$36,Extracto!$B$2:$B$36,A10)</f>
        <v/>
      </c>
      <c r="G10" s="31">
        <f>F10-D10</f>
        <v/>
      </c>
      <c r="H10" s="5">
        <f>IF(F10=0,"Pago sin banco",IF(ABS(G10)&lt;1,"Conciliado","Diferencia de valor"))</f>
        <v/>
      </c>
      <c r="I10" s="5">
        <f>IF(H10="Conciliado","",IF(H10="Pago sin banco","Registrado en cartera, no en banco",IF(H10="Diferencia de valor","Diferencia entre recaudo y extracto","")))</f>
        <v/>
      </c>
    </row>
    <row r="11">
      <c r="A11" s="5">
        <f>Pagos!J11</f>
        <v/>
      </c>
      <c r="B11" s="5">
        <f>Pagos!A11</f>
        <v/>
      </c>
      <c r="C11" s="30">
        <f>Pagos!D11</f>
        <v/>
      </c>
      <c r="D11" s="31">
        <f>Pagos!E11</f>
        <v/>
      </c>
      <c r="E11" s="30">
        <f>IFERROR(INDEX(Extracto!$A$2:$A$36,MATCH(A11,Extracto!$B$2:$B$36,0)),"")</f>
        <v/>
      </c>
      <c r="F11" s="31">
        <f>SUMIFS(Extracto!$D$2:$D$36,Extracto!$B$2:$B$36,A11)</f>
        <v/>
      </c>
      <c r="G11" s="31">
        <f>F11-D11</f>
        <v/>
      </c>
      <c r="H11" s="5">
        <f>IF(F11=0,"Pago sin banco",IF(ABS(G11)&lt;1,"Conciliado","Diferencia de valor"))</f>
        <v/>
      </c>
      <c r="I11" s="5">
        <f>IF(H11="Conciliado","",IF(H11="Pago sin banco","Registrado en cartera, no en banco",IF(H11="Diferencia de valor","Diferencia entre recaudo y extracto","")))</f>
        <v/>
      </c>
    </row>
    <row r="12">
      <c r="A12" s="5">
        <f>Pagos!J12</f>
        <v/>
      </c>
      <c r="B12" s="5">
        <f>Pagos!A12</f>
        <v/>
      </c>
      <c r="C12" s="30">
        <f>Pagos!D12</f>
        <v/>
      </c>
      <c r="D12" s="31">
        <f>Pagos!E12</f>
        <v/>
      </c>
      <c r="E12" s="30">
        <f>IFERROR(INDEX(Extracto!$A$2:$A$36,MATCH(A12,Extracto!$B$2:$B$36,0)),"")</f>
        <v/>
      </c>
      <c r="F12" s="31">
        <f>SUMIFS(Extracto!$D$2:$D$36,Extracto!$B$2:$B$36,A12)</f>
        <v/>
      </c>
      <c r="G12" s="31">
        <f>F12-D12</f>
        <v/>
      </c>
      <c r="H12" s="5">
        <f>IF(F12=0,"Pago sin banco",IF(ABS(G12)&lt;1,"Conciliado","Diferencia de valor"))</f>
        <v/>
      </c>
      <c r="I12" s="5">
        <f>IF(H12="Conciliado","",IF(H12="Pago sin banco","Registrado en cartera, no en banco",IF(H12="Diferencia de valor","Diferencia entre recaudo y extracto","")))</f>
        <v/>
      </c>
    </row>
    <row r="13">
      <c r="A13" s="5">
        <f>Pagos!J13</f>
        <v/>
      </c>
      <c r="B13" s="5">
        <f>Pagos!A13</f>
        <v/>
      </c>
      <c r="C13" s="30">
        <f>Pagos!D13</f>
        <v/>
      </c>
      <c r="D13" s="31">
        <f>Pagos!E13</f>
        <v/>
      </c>
      <c r="E13" s="30">
        <f>IFERROR(INDEX(Extracto!$A$2:$A$36,MATCH(A13,Extracto!$B$2:$B$36,0)),"")</f>
        <v/>
      </c>
      <c r="F13" s="31">
        <f>SUMIFS(Extracto!$D$2:$D$36,Extracto!$B$2:$B$36,A13)</f>
        <v/>
      </c>
      <c r="G13" s="31">
        <f>F13-D13</f>
        <v/>
      </c>
      <c r="H13" s="5">
        <f>IF(F13=0,"Pago sin banco",IF(ABS(G13)&lt;1,"Conciliado","Diferencia de valor"))</f>
        <v/>
      </c>
      <c r="I13" s="5">
        <f>IF(H13="Conciliado","",IF(H13="Pago sin banco","Registrado en cartera, no en banco",IF(H13="Diferencia de valor","Diferencia entre recaudo y extracto","")))</f>
        <v/>
      </c>
    </row>
    <row r="14">
      <c r="A14" s="5">
        <f>Pagos!J14</f>
        <v/>
      </c>
      <c r="B14" s="5">
        <f>Pagos!A14</f>
        <v/>
      </c>
      <c r="C14" s="30">
        <f>Pagos!D14</f>
        <v/>
      </c>
      <c r="D14" s="31">
        <f>Pagos!E14</f>
        <v/>
      </c>
      <c r="E14" s="30">
        <f>IFERROR(INDEX(Extracto!$A$2:$A$36,MATCH(A14,Extracto!$B$2:$B$36,0)),"")</f>
        <v/>
      </c>
      <c r="F14" s="31">
        <f>SUMIFS(Extracto!$D$2:$D$36,Extracto!$B$2:$B$36,A14)</f>
        <v/>
      </c>
      <c r="G14" s="31">
        <f>F14-D14</f>
        <v/>
      </c>
      <c r="H14" s="5">
        <f>IF(F14=0,"Pago sin banco",IF(ABS(G14)&lt;1,"Conciliado","Diferencia de valor"))</f>
        <v/>
      </c>
      <c r="I14" s="5">
        <f>IF(H14="Conciliado","",IF(H14="Pago sin banco","Registrado en cartera, no en banco",IF(H14="Diferencia de valor","Diferencia entre recaudo y extracto","")))</f>
        <v/>
      </c>
    </row>
    <row r="15">
      <c r="A15" s="5">
        <f>Pagos!J15</f>
        <v/>
      </c>
      <c r="B15" s="5">
        <f>Pagos!A15</f>
        <v/>
      </c>
      <c r="C15" s="30">
        <f>Pagos!D15</f>
        <v/>
      </c>
      <c r="D15" s="31">
        <f>Pagos!E15</f>
        <v/>
      </c>
      <c r="E15" s="30">
        <f>IFERROR(INDEX(Extracto!$A$2:$A$36,MATCH(A15,Extracto!$B$2:$B$36,0)),"")</f>
        <v/>
      </c>
      <c r="F15" s="31">
        <f>SUMIFS(Extracto!$D$2:$D$36,Extracto!$B$2:$B$36,A15)</f>
        <v/>
      </c>
      <c r="G15" s="31">
        <f>F15-D15</f>
        <v/>
      </c>
      <c r="H15" s="5">
        <f>IF(F15=0,"Pago sin banco",IF(ABS(G15)&lt;1,"Conciliado","Diferencia de valor"))</f>
        <v/>
      </c>
      <c r="I15" s="5">
        <f>IF(H15="Conciliado","",IF(H15="Pago sin banco","Registrado en cartera, no en banco",IF(H15="Diferencia de valor","Diferencia entre recaudo y extracto","")))</f>
        <v/>
      </c>
    </row>
    <row r="16">
      <c r="A16" s="5">
        <f>Pagos!J16</f>
        <v/>
      </c>
      <c r="B16" s="5">
        <f>Pagos!A16</f>
        <v/>
      </c>
      <c r="C16" s="30">
        <f>Pagos!D16</f>
        <v/>
      </c>
      <c r="D16" s="31">
        <f>Pagos!E16</f>
        <v/>
      </c>
      <c r="E16" s="30">
        <f>IFERROR(INDEX(Extracto!$A$2:$A$36,MATCH(A16,Extracto!$B$2:$B$36,0)),"")</f>
        <v/>
      </c>
      <c r="F16" s="31">
        <f>SUMIFS(Extracto!$D$2:$D$36,Extracto!$B$2:$B$36,A16)</f>
        <v/>
      </c>
      <c r="G16" s="31">
        <f>F16-D16</f>
        <v/>
      </c>
      <c r="H16" s="5">
        <f>IF(F16=0,"Pago sin banco",IF(ABS(G16)&lt;1,"Conciliado","Diferencia de valor"))</f>
        <v/>
      </c>
      <c r="I16" s="5">
        <f>IF(H16="Conciliado","",IF(H16="Pago sin banco","Registrado en cartera, no en banco",IF(H16="Diferencia de valor","Diferencia entre recaudo y extracto","")))</f>
        <v/>
      </c>
    </row>
    <row r="17">
      <c r="A17" s="5">
        <f>Pagos!J17</f>
        <v/>
      </c>
      <c r="B17" s="5">
        <f>Pagos!A17</f>
        <v/>
      </c>
      <c r="C17" s="30">
        <f>Pagos!D17</f>
        <v/>
      </c>
      <c r="D17" s="31">
        <f>Pagos!E17</f>
        <v/>
      </c>
      <c r="E17" s="30">
        <f>IFERROR(INDEX(Extracto!$A$2:$A$36,MATCH(A17,Extracto!$B$2:$B$36,0)),"")</f>
        <v/>
      </c>
      <c r="F17" s="31">
        <f>SUMIFS(Extracto!$D$2:$D$36,Extracto!$B$2:$B$36,A17)</f>
        <v/>
      </c>
      <c r="G17" s="31">
        <f>F17-D17</f>
        <v/>
      </c>
      <c r="H17" s="5">
        <f>IF(F17=0,"Pago sin banco",IF(ABS(G17)&lt;1,"Conciliado","Diferencia de valor"))</f>
        <v/>
      </c>
      <c r="I17" s="5">
        <f>IF(H17="Conciliado","",IF(H17="Pago sin banco","Registrado en cartera, no en banco",IF(H17="Diferencia de valor","Diferencia entre recaudo y extracto","")))</f>
        <v/>
      </c>
    </row>
    <row r="18">
      <c r="A18" s="5">
        <f>Pagos!J18</f>
        <v/>
      </c>
      <c r="B18" s="5">
        <f>Pagos!A18</f>
        <v/>
      </c>
      <c r="C18" s="30">
        <f>Pagos!D18</f>
        <v/>
      </c>
      <c r="D18" s="31">
        <f>Pagos!E18</f>
        <v/>
      </c>
      <c r="E18" s="30">
        <f>IFERROR(INDEX(Extracto!$A$2:$A$36,MATCH(A18,Extracto!$B$2:$B$36,0)),"")</f>
        <v/>
      </c>
      <c r="F18" s="31">
        <f>SUMIFS(Extracto!$D$2:$D$36,Extracto!$B$2:$B$36,A18)</f>
        <v/>
      </c>
      <c r="G18" s="31">
        <f>F18-D18</f>
        <v/>
      </c>
      <c r="H18" s="5">
        <f>IF(F18=0,"Pago sin banco",IF(ABS(G18)&lt;1,"Conciliado","Diferencia de valor"))</f>
        <v/>
      </c>
      <c r="I18" s="5">
        <f>IF(H18="Conciliado","",IF(H18="Pago sin banco","Registrado en cartera, no en banco",IF(H18="Diferencia de valor","Diferencia entre recaudo y extracto","")))</f>
        <v/>
      </c>
    </row>
    <row r="19">
      <c r="A19" s="5">
        <f>Pagos!J19</f>
        <v/>
      </c>
      <c r="B19" s="5">
        <f>Pagos!A19</f>
        <v/>
      </c>
      <c r="C19" s="30">
        <f>Pagos!D19</f>
        <v/>
      </c>
      <c r="D19" s="31">
        <f>Pagos!E19</f>
        <v/>
      </c>
      <c r="E19" s="30">
        <f>IFERROR(INDEX(Extracto!$A$2:$A$36,MATCH(A19,Extracto!$B$2:$B$36,0)),"")</f>
        <v/>
      </c>
      <c r="F19" s="31">
        <f>SUMIFS(Extracto!$D$2:$D$36,Extracto!$B$2:$B$36,A19)</f>
        <v/>
      </c>
      <c r="G19" s="31">
        <f>F19-D19</f>
        <v/>
      </c>
      <c r="H19" s="5">
        <f>IF(F19=0,"Pago sin banco",IF(ABS(G19)&lt;1,"Conciliado","Diferencia de valor"))</f>
        <v/>
      </c>
      <c r="I19" s="5">
        <f>IF(H19="Conciliado","",IF(H19="Pago sin banco","Registrado en cartera, no en banco",IF(H19="Diferencia de valor","Diferencia entre recaudo y extracto","")))</f>
        <v/>
      </c>
    </row>
    <row r="20">
      <c r="A20" s="5">
        <f>Pagos!J20</f>
        <v/>
      </c>
      <c r="B20" s="5">
        <f>Pagos!A20</f>
        <v/>
      </c>
      <c r="C20" s="30">
        <f>Pagos!D20</f>
        <v/>
      </c>
      <c r="D20" s="31">
        <f>Pagos!E20</f>
        <v/>
      </c>
      <c r="E20" s="30">
        <f>IFERROR(INDEX(Extracto!$A$2:$A$36,MATCH(A20,Extracto!$B$2:$B$36,0)),"")</f>
        <v/>
      </c>
      <c r="F20" s="31">
        <f>SUMIFS(Extracto!$D$2:$D$36,Extracto!$B$2:$B$36,A20)</f>
        <v/>
      </c>
      <c r="G20" s="31">
        <f>F20-D20</f>
        <v/>
      </c>
      <c r="H20" s="5">
        <f>IF(F20=0,"Pago sin banco",IF(ABS(G20)&lt;1,"Conciliado","Diferencia de valor"))</f>
        <v/>
      </c>
      <c r="I20" s="5">
        <f>IF(H20="Conciliado","",IF(H20="Pago sin banco","Registrado en cartera, no en banco",IF(H20="Diferencia de valor","Diferencia entre recaudo y extracto","")))</f>
        <v/>
      </c>
    </row>
    <row r="21">
      <c r="A21" s="5">
        <f>Pagos!J21</f>
        <v/>
      </c>
      <c r="B21" s="5">
        <f>Pagos!A21</f>
        <v/>
      </c>
      <c r="C21" s="30">
        <f>Pagos!D21</f>
        <v/>
      </c>
      <c r="D21" s="31">
        <f>Pagos!E21</f>
        <v/>
      </c>
      <c r="E21" s="30">
        <f>IFERROR(INDEX(Extracto!$A$2:$A$36,MATCH(A21,Extracto!$B$2:$B$36,0)),"")</f>
        <v/>
      </c>
      <c r="F21" s="31">
        <f>SUMIFS(Extracto!$D$2:$D$36,Extracto!$B$2:$B$36,A21)</f>
        <v/>
      </c>
      <c r="G21" s="31">
        <f>F21-D21</f>
        <v/>
      </c>
      <c r="H21" s="5">
        <f>IF(F21=0,"Pago sin banco",IF(ABS(G21)&lt;1,"Conciliado","Diferencia de valor"))</f>
        <v/>
      </c>
      <c r="I21" s="5">
        <f>IF(H21="Conciliado","",IF(H21="Pago sin banco","Registrado en cartera, no en banco",IF(H21="Diferencia de valor","Diferencia entre recaudo y extracto","")))</f>
        <v/>
      </c>
    </row>
    <row r="22">
      <c r="A22" s="5">
        <f>Pagos!J22</f>
        <v/>
      </c>
      <c r="B22" s="5">
        <f>Pagos!A22</f>
        <v/>
      </c>
      <c r="C22" s="30">
        <f>Pagos!D22</f>
        <v/>
      </c>
      <c r="D22" s="31">
        <f>Pagos!E22</f>
        <v/>
      </c>
      <c r="E22" s="30">
        <f>IFERROR(INDEX(Extracto!$A$2:$A$36,MATCH(A22,Extracto!$B$2:$B$36,0)),"")</f>
        <v/>
      </c>
      <c r="F22" s="31">
        <f>SUMIFS(Extracto!$D$2:$D$36,Extracto!$B$2:$B$36,A22)</f>
        <v/>
      </c>
      <c r="G22" s="31">
        <f>F22-D22</f>
        <v/>
      </c>
      <c r="H22" s="5">
        <f>IF(F22=0,"Pago sin banco",IF(ABS(G22)&lt;1,"Conciliado","Diferencia de valor"))</f>
        <v/>
      </c>
      <c r="I22" s="5">
        <f>IF(H22="Conciliado","",IF(H22="Pago sin banco","Registrado en cartera, no en banco",IF(H22="Diferencia de valor","Diferencia entre recaudo y extracto","")))</f>
        <v/>
      </c>
    </row>
    <row r="23">
      <c r="A23" s="5">
        <f>Pagos!J23</f>
        <v/>
      </c>
      <c r="B23" s="5">
        <f>Pagos!A23</f>
        <v/>
      </c>
      <c r="C23" s="30">
        <f>Pagos!D23</f>
        <v/>
      </c>
      <c r="D23" s="31">
        <f>Pagos!E23</f>
        <v/>
      </c>
      <c r="E23" s="30">
        <f>IFERROR(INDEX(Extracto!$A$2:$A$36,MATCH(A23,Extracto!$B$2:$B$36,0)),"")</f>
        <v/>
      </c>
      <c r="F23" s="31">
        <f>SUMIFS(Extracto!$D$2:$D$36,Extracto!$B$2:$B$36,A23)</f>
        <v/>
      </c>
      <c r="G23" s="31">
        <f>F23-D23</f>
        <v/>
      </c>
      <c r="H23" s="5">
        <f>IF(F23=0,"Pago sin banco",IF(ABS(G23)&lt;1,"Conciliado","Diferencia de valor"))</f>
        <v/>
      </c>
      <c r="I23" s="5">
        <f>IF(H23="Conciliado","",IF(H23="Pago sin banco","Registrado en cartera, no en banco",IF(H23="Diferencia de valor","Diferencia entre recaudo y extracto","")))</f>
        <v/>
      </c>
    </row>
    <row r="24">
      <c r="A24" s="5">
        <f>Pagos!J24</f>
        <v/>
      </c>
      <c r="B24" s="5">
        <f>Pagos!A24</f>
        <v/>
      </c>
      <c r="C24" s="30">
        <f>Pagos!D24</f>
        <v/>
      </c>
      <c r="D24" s="31">
        <f>Pagos!E24</f>
        <v/>
      </c>
      <c r="E24" s="30">
        <f>IFERROR(INDEX(Extracto!$A$2:$A$36,MATCH(A24,Extracto!$B$2:$B$36,0)),"")</f>
        <v/>
      </c>
      <c r="F24" s="31">
        <f>SUMIFS(Extracto!$D$2:$D$36,Extracto!$B$2:$B$36,A24)</f>
        <v/>
      </c>
      <c r="G24" s="31">
        <f>F24-D24</f>
        <v/>
      </c>
      <c r="H24" s="5">
        <f>IF(F24=0,"Pago sin banco",IF(ABS(G24)&lt;1,"Conciliado","Diferencia de valor"))</f>
        <v/>
      </c>
      <c r="I24" s="5">
        <f>IF(H24="Conciliado","",IF(H24="Pago sin banco","Registrado en cartera, no en banco",IF(H24="Diferencia de valor","Diferencia entre recaudo y extracto","")))</f>
        <v/>
      </c>
    </row>
    <row r="25">
      <c r="A25" s="5">
        <f>Pagos!J25</f>
        <v/>
      </c>
      <c r="B25" s="5">
        <f>Pagos!A25</f>
        <v/>
      </c>
      <c r="C25" s="30">
        <f>Pagos!D25</f>
        <v/>
      </c>
      <c r="D25" s="31">
        <f>Pagos!E25</f>
        <v/>
      </c>
      <c r="E25" s="30">
        <f>IFERROR(INDEX(Extracto!$A$2:$A$36,MATCH(A25,Extracto!$B$2:$B$36,0)),"")</f>
        <v/>
      </c>
      <c r="F25" s="31">
        <f>SUMIFS(Extracto!$D$2:$D$36,Extracto!$B$2:$B$36,A25)</f>
        <v/>
      </c>
      <c r="G25" s="31">
        <f>F25-D25</f>
        <v/>
      </c>
      <c r="H25" s="5">
        <f>IF(F25=0,"Pago sin banco",IF(ABS(G25)&lt;1,"Conciliado","Diferencia de valor"))</f>
        <v/>
      </c>
      <c r="I25" s="5">
        <f>IF(H25="Conciliado","",IF(H25="Pago sin banco","Registrado en cartera, no en banco",IF(H25="Diferencia de valor","Diferencia entre recaudo y extracto","")))</f>
        <v/>
      </c>
    </row>
    <row r="26">
      <c r="A26" s="5">
        <f>Pagos!J26</f>
        <v/>
      </c>
      <c r="B26" s="5">
        <f>Pagos!A26</f>
        <v/>
      </c>
      <c r="C26" s="30">
        <f>Pagos!D26</f>
        <v/>
      </c>
      <c r="D26" s="31">
        <f>Pagos!E26</f>
        <v/>
      </c>
      <c r="E26" s="30">
        <f>IFERROR(INDEX(Extracto!$A$2:$A$36,MATCH(A26,Extracto!$B$2:$B$36,0)),"")</f>
        <v/>
      </c>
      <c r="F26" s="31">
        <f>SUMIFS(Extracto!$D$2:$D$36,Extracto!$B$2:$B$36,A26)</f>
        <v/>
      </c>
      <c r="G26" s="31">
        <f>F26-D26</f>
        <v/>
      </c>
      <c r="H26" s="5">
        <f>IF(F26=0,"Pago sin banco",IF(ABS(G26)&lt;1,"Conciliado","Diferencia de valor"))</f>
        <v/>
      </c>
      <c r="I26" s="5">
        <f>IF(H26="Conciliado","",IF(H26="Pago sin banco","Registrado en cartera, no en banco",IF(H26="Diferencia de valor","Diferencia entre recaudo y extracto","")))</f>
        <v/>
      </c>
    </row>
    <row r="27">
      <c r="A27" s="5">
        <f>Pagos!J27</f>
        <v/>
      </c>
      <c r="B27" s="5">
        <f>Pagos!A27</f>
        <v/>
      </c>
      <c r="C27" s="30">
        <f>Pagos!D27</f>
        <v/>
      </c>
      <c r="D27" s="31">
        <f>Pagos!E27</f>
        <v/>
      </c>
      <c r="E27" s="30">
        <f>IFERROR(INDEX(Extracto!$A$2:$A$36,MATCH(A27,Extracto!$B$2:$B$36,0)),"")</f>
        <v/>
      </c>
      <c r="F27" s="31">
        <f>SUMIFS(Extracto!$D$2:$D$36,Extracto!$B$2:$B$36,A27)</f>
        <v/>
      </c>
      <c r="G27" s="31">
        <f>F27-D27</f>
        <v/>
      </c>
      <c r="H27" s="5">
        <f>IF(F27=0,"Pago sin banco",IF(ABS(G27)&lt;1,"Conciliado","Diferencia de valor"))</f>
        <v/>
      </c>
      <c r="I27" s="5">
        <f>IF(H27="Conciliado","",IF(H27="Pago sin banco","Registrado en cartera, no en banco",IF(H27="Diferencia de valor","Diferencia entre recaudo y extracto","")))</f>
        <v/>
      </c>
    </row>
    <row r="28">
      <c r="A28" s="5">
        <f>Pagos!J28</f>
        <v/>
      </c>
      <c r="B28" s="5">
        <f>Pagos!A28</f>
        <v/>
      </c>
      <c r="C28" s="30">
        <f>Pagos!D28</f>
        <v/>
      </c>
      <c r="D28" s="31">
        <f>Pagos!E28</f>
        <v/>
      </c>
      <c r="E28" s="30">
        <f>IFERROR(INDEX(Extracto!$A$2:$A$36,MATCH(A28,Extracto!$B$2:$B$36,0)),"")</f>
        <v/>
      </c>
      <c r="F28" s="31">
        <f>SUMIFS(Extracto!$D$2:$D$36,Extracto!$B$2:$B$36,A28)</f>
        <v/>
      </c>
      <c r="G28" s="31">
        <f>F28-D28</f>
        <v/>
      </c>
      <c r="H28" s="5">
        <f>IF(F28=0,"Pago sin banco",IF(ABS(G28)&lt;1,"Conciliado","Diferencia de valor"))</f>
        <v/>
      </c>
      <c r="I28" s="5">
        <f>IF(H28="Conciliado","",IF(H28="Pago sin banco","Registrado en cartera, no en banco",IF(H28="Diferencia de valor","Diferencia entre recaudo y extracto","")))</f>
        <v/>
      </c>
    </row>
    <row r="29">
      <c r="A29" s="5">
        <f>Pagos!J29</f>
        <v/>
      </c>
      <c r="B29" s="5">
        <f>Pagos!A29</f>
        <v/>
      </c>
      <c r="C29" s="30">
        <f>Pagos!D29</f>
        <v/>
      </c>
      <c r="D29" s="31">
        <f>Pagos!E29</f>
        <v/>
      </c>
      <c r="E29" s="30">
        <f>IFERROR(INDEX(Extracto!$A$2:$A$36,MATCH(A29,Extracto!$B$2:$B$36,0)),"")</f>
        <v/>
      </c>
      <c r="F29" s="31">
        <f>SUMIFS(Extracto!$D$2:$D$36,Extracto!$B$2:$B$36,A29)</f>
        <v/>
      </c>
      <c r="G29" s="31">
        <f>F29-D29</f>
        <v/>
      </c>
      <c r="H29" s="5">
        <f>IF(F29=0,"Pago sin banco",IF(ABS(G29)&lt;1,"Conciliado","Diferencia de valor"))</f>
        <v/>
      </c>
      <c r="I29" s="5">
        <f>IF(H29="Conciliado","",IF(H29="Pago sin banco","Registrado en cartera, no en banco",IF(H29="Diferencia de valor","Diferencia entre recaudo y extracto","")))</f>
        <v/>
      </c>
    </row>
    <row r="30">
      <c r="A30" s="5">
        <f>Pagos!J30</f>
        <v/>
      </c>
      <c r="B30" s="5">
        <f>Pagos!A30</f>
        <v/>
      </c>
      <c r="C30" s="30">
        <f>Pagos!D30</f>
        <v/>
      </c>
      <c r="D30" s="31">
        <f>Pagos!E30</f>
        <v/>
      </c>
      <c r="E30" s="30">
        <f>IFERROR(INDEX(Extracto!$A$2:$A$36,MATCH(A30,Extracto!$B$2:$B$36,0)),"")</f>
        <v/>
      </c>
      <c r="F30" s="31">
        <f>SUMIFS(Extracto!$D$2:$D$36,Extracto!$B$2:$B$36,A30)</f>
        <v/>
      </c>
      <c r="G30" s="31">
        <f>F30-D30</f>
        <v/>
      </c>
      <c r="H30" s="5">
        <f>IF(F30=0,"Pago sin banco",IF(ABS(G30)&lt;1,"Conciliado","Diferencia de valor"))</f>
        <v/>
      </c>
      <c r="I30" s="5">
        <f>IF(H30="Conciliado","",IF(H30="Pago sin banco","Registrado en cartera, no en banco",IF(H30="Diferencia de valor","Diferencia entre recaudo y extracto","")))</f>
        <v/>
      </c>
    </row>
    <row r="31">
      <c r="A31" s="5">
        <f>Pagos!J31</f>
        <v/>
      </c>
      <c r="B31" s="5">
        <f>Pagos!A31</f>
        <v/>
      </c>
      <c r="C31" s="30">
        <f>Pagos!D31</f>
        <v/>
      </c>
      <c r="D31" s="31">
        <f>Pagos!E31</f>
        <v/>
      </c>
      <c r="E31" s="30">
        <f>IFERROR(INDEX(Extracto!$A$2:$A$36,MATCH(A31,Extracto!$B$2:$B$36,0)),"")</f>
        <v/>
      </c>
      <c r="F31" s="31">
        <f>SUMIFS(Extracto!$D$2:$D$36,Extracto!$B$2:$B$36,A31)</f>
        <v/>
      </c>
      <c r="G31" s="31">
        <f>F31-D31</f>
        <v/>
      </c>
      <c r="H31" s="5">
        <f>IF(F31=0,"Pago sin banco",IF(ABS(G31)&lt;1,"Conciliado","Diferencia de valor"))</f>
        <v/>
      </c>
      <c r="I31" s="5">
        <f>IF(H31="Conciliado","",IF(H31="Pago sin banco","Registrado en cartera, no en banco",IF(H31="Diferencia de valor","Diferencia entre recaudo y extracto","")))</f>
        <v/>
      </c>
    </row>
    <row r="32">
      <c r="A32" s="5">
        <f>Pagos!J32</f>
        <v/>
      </c>
      <c r="B32" s="5">
        <f>Pagos!A32</f>
        <v/>
      </c>
      <c r="C32" s="30">
        <f>Pagos!D32</f>
        <v/>
      </c>
      <c r="D32" s="31">
        <f>Pagos!E32</f>
        <v/>
      </c>
      <c r="E32" s="30">
        <f>IFERROR(INDEX(Extracto!$A$2:$A$36,MATCH(A32,Extracto!$B$2:$B$36,0)),"")</f>
        <v/>
      </c>
      <c r="F32" s="31">
        <f>SUMIFS(Extracto!$D$2:$D$36,Extracto!$B$2:$B$36,A32)</f>
        <v/>
      </c>
      <c r="G32" s="31">
        <f>F32-D32</f>
        <v/>
      </c>
      <c r="H32" s="5">
        <f>IF(F32=0,"Pago sin banco",IF(ABS(G32)&lt;1,"Conciliado","Diferencia de valor"))</f>
        <v/>
      </c>
      <c r="I32" s="5">
        <f>IF(H32="Conciliado","",IF(H32="Pago sin banco","Registrado en cartera, no en banco",IF(H32="Diferencia de valor","Diferencia entre recaudo y extracto","")))</f>
        <v/>
      </c>
    </row>
    <row r="33">
      <c r="A33" s="5">
        <f>Pagos!J33</f>
        <v/>
      </c>
      <c r="B33" s="5">
        <f>Pagos!A33</f>
        <v/>
      </c>
      <c r="C33" s="30">
        <f>Pagos!D33</f>
        <v/>
      </c>
      <c r="D33" s="31">
        <f>Pagos!E33</f>
        <v/>
      </c>
      <c r="E33" s="30">
        <f>IFERROR(INDEX(Extracto!$A$2:$A$36,MATCH(A33,Extracto!$B$2:$B$36,0)),"")</f>
        <v/>
      </c>
      <c r="F33" s="31">
        <f>SUMIFS(Extracto!$D$2:$D$36,Extracto!$B$2:$B$36,A33)</f>
        <v/>
      </c>
      <c r="G33" s="31">
        <f>F33-D33</f>
        <v/>
      </c>
      <c r="H33" s="5">
        <f>IF(F33=0,"Pago sin banco",IF(ABS(G33)&lt;1,"Conciliado","Diferencia de valor"))</f>
        <v/>
      </c>
      <c r="I33" s="5">
        <f>IF(H33="Conciliado","",IF(H33="Pago sin banco","Registrado en cartera, no en banco",IF(H33="Diferencia de valor","Diferencia entre recaudo y extracto","")))</f>
        <v/>
      </c>
    </row>
    <row r="34">
      <c r="A34" s="5">
        <f>Pagos!J34</f>
        <v/>
      </c>
      <c r="B34" s="5">
        <f>Pagos!A34</f>
        <v/>
      </c>
      <c r="C34" s="30">
        <f>Pagos!D34</f>
        <v/>
      </c>
      <c r="D34" s="31">
        <f>Pagos!E34</f>
        <v/>
      </c>
      <c r="E34" s="30">
        <f>IFERROR(INDEX(Extracto!$A$2:$A$36,MATCH(A34,Extracto!$B$2:$B$36,0)),"")</f>
        <v/>
      </c>
      <c r="F34" s="31">
        <f>SUMIFS(Extracto!$D$2:$D$36,Extracto!$B$2:$B$36,A34)</f>
        <v/>
      </c>
      <c r="G34" s="31">
        <f>F34-D34</f>
        <v/>
      </c>
      <c r="H34" s="5">
        <f>IF(F34=0,"Pago sin banco",IF(ABS(G34)&lt;1,"Conciliado","Diferencia de valor"))</f>
        <v/>
      </c>
      <c r="I34" s="5">
        <f>IF(H34="Conciliado","",IF(H34="Pago sin banco","Registrado en cartera, no en banco",IF(H34="Diferencia de valor","Diferencia entre recaudo y extracto","")))</f>
        <v/>
      </c>
    </row>
    <row r="35">
      <c r="A35" s="5">
        <f>Pagos!J35</f>
        <v/>
      </c>
      <c r="B35" s="5">
        <f>Pagos!A35</f>
        <v/>
      </c>
      <c r="C35" s="30">
        <f>Pagos!D35</f>
        <v/>
      </c>
      <c r="D35" s="31">
        <f>Pagos!E35</f>
        <v/>
      </c>
      <c r="E35" s="30">
        <f>IFERROR(INDEX(Extracto!$A$2:$A$36,MATCH(A35,Extracto!$B$2:$B$36,0)),"")</f>
        <v/>
      </c>
      <c r="F35" s="31">
        <f>SUMIFS(Extracto!$D$2:$D$36,Extracto!$B$2:$B$36,A35)</f>
        <v/>
      </c>
      <c r="G35" s="31">
        <f>F35-D35</f>
        <v/>
      </c>
      <c r="H35" s="5">
        <f>IF(F35=0,"Pago sin banco",IF(ABS(G35)&lt;1,"Conciliado","Diferencia de valor"))</f>
        <v/>
      </c>
      <c r="I35" s="5">
        <f>IF(H35="Conciliado","",IF(H35="Pago sin banco","Registrado en cartera, no en banco",IF(H35="Diferencia de valor","Diferencia entre recaudo y extracto","")))</f>
        <v/>
      </c>
    </row>
    <row r="36">
      <c r="A36" s="5">
        <f>Pagos!J36</f>
        <v/>
      </c>
      <c r="B36" s="5">
        <f>Pagos!A36</f>
        <v/>
      </c>
      <c r="C36" s="30">
        <f>Pagos!D36</f>
        <v/>
      </c>
      <c r="D36" s="31">
        <f>Pagos!E36</f>
        <v/>
      </c>
      <c r="E36" s="30">
        <f>IFERROR(INDEX(Extracto!$A$2:$A$36,MATCH(A36,Extracto!$B$2:$B$36,0)),"")</f>
        <v/>
      </c>
      <c r="F36" s="31">
        <f>SUMIFS(Extracto!$D$2:$D$36,Extracto!$B$2:$B$36,A36)</f>
        <v/>
      </c>
      <c r="G36" s="31">
        <f>F36-D36</f>
        <v/>
      </c>
      <c r="H36" s="5">
        <f>IF(F36=0,"Pago sin banco",IF(ABS(G36)&lt;1,"Conciliado","Diferencia de valor"))</f>
        <v/>
      </c>
      <c r="I36" s="5">
        <f>IF(H36="Conciliado","",IF(H36="Pago sin banco","Registrado en cartera, no en banco",IF(H36="Diferencia de valor","Diferencia entre recaudo y extracto","")))</f>
        <v/>
      </c>
    </row>
    <row r="37">
      <c r="A37" s="5" t="inlineStr">
        <is>
          <t>DEP-2026-999</t>
        </is>
      </c>
      <c r="B37" s="5" t="inlineStr"/>
      <c r="C37" s="30" t="inlineStr"/>
      <c r="D37" s="31" t="n">
        <v>0</v>
      </c>
      <c r="E37" s="30">
        <f>IFERROR(INDEX(Extracto!$A$2:$A$36,MATCH(A37,Extracto!$B$2:$B$36,0)),"")</f>
        <v/>
      </c>
      <c r="F37" s="31">
        <f>SUMIFS(Extracto!$D$2:$D$36,Extracto!$B$2:$B$36,A37)</f>
        <v/>
      </c>
      <c r="G37" s="31">
        <f>F37-D37</f>
        <v/>
      </c>
      <c r="H37" s="5" t="inlineStr">
        <is>
          <t>Banco sin pago</t>
        </is>
      </c>
      <c r="I37" s="5" t="inlineStr">
        <is>
          <t>Depósito no identificado</t>
        </is>
      </c>
    </row>
    <row r="38">
      <c r="A38" s="35" t="inlineStr">
        <is>
          <t>TOTAL</t>
        </is>
      </c>
      <c r="B38" s="35" t="inlineStr"/>
      <c r="C38" s="35" t="inlineStr"/>
      <c r="D38" s="36">
        <f>SUM(D2:D37)</f>
        <v/>
      </c>
      <c r="E38" s="35" t="inlineStr"/>
      <c r="F38" s="36">
        <f>SUM(F2:F37)</f>
        <v/>
      </c>
      <c r="G38" s="36">
        <f>SUM(G2:G37)</f>
        <v/>
      </c>
      <c r="H38" s="35" t="inlineStr"/>
      <c r="I38" s="35" t="inlineStr"/>
    </row>
  </sheetData>
  <autoFilter ref="A1:I37"/>
  <conditionalFormatting sqref="H2:H37">
    <cfRule type="expression" priority="1" dxfId="2">
      <formula>$H2="Conciliado"</formula>
    </cfRule>
    <cfRule type="expression" priority="2" dxfId="1">
      <formula>$H2="Diferencia de valor"</formula>
    </cfRule>
    <cfRule type="expression" priority="3" dxfId="0">
      <formula>$H2="Pago sin banco"</formula>
    </cfRule>
    <cfRule type="expression" priority="4" dxfId="0">
      <formula>$H2="Banco sin pago"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6C8EBF"/>
    <outlinePr summaryBelow="1" summaryRight="1"/>
    <pageSetUpPr/>
  </sheetPr>
  <dimension ref="A1:N36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28" customWidth="1" min="3" max="3"/>
    <col width="12" customWidth="1" min="4" max="4"/>
    <col width="15" customWidth="1" min="5" max="5"/>
    <col width="14" customWidth="1" min="6" max="6"/>
    <col width="14" customWidth="1" min="7" max="7"/>
    <col width="13" customWidth="1" min="8" max="8"/>
    <col width="14" customWidth="1" min="9" max="9"/>
    <col width="14" customWidth="1" min="10" max="10"/>
    <col width="14" customWidth="1" min="11" max="11"/>
    <col width="15" customWidth="1" min="12" max="12"/>
    <col width="20" customWidth="1" min="13" max="13"/>
    <col width="32" customWidth="1" min="14" max="14"/>
  </cols>
  <sheetData>
    <row r="1" ht="32" customHeight="1">
      <c r="A1" s="29" t="inlineStr">
        <is>
          <t>PagoID</t>
        </is>
      </c>
      <c r="B1" s="29" t="inlineStr">
        <is>
          <t>ClienteID</t>
        </is>
      </c>
      <c r="C1" s="29" t="inlineStr">
        <is>
          <t>Cliente</t>
        </is>
      </c>
      <c r="D1" s="29" t="inlineStr">
        <is>
          <t>Fecha</t>
        </is>
      </c>
      <c r="E1" s="29" t="inlineStr">
        <is>
          <t>ValorRecibido</t>
        </is>
      </c>
      <c r="F1" s="29" t="inlineStr">
        <is>
          <t>Aplicado</t>
        </is>
      </c>
      <c r="G1" s="29" t="inlineStr">
        <is>
          <t>NoAplicado</t>
        </is>
      </c>
      <c r="H1" s="29" t="inlineStr">
        <is>
          <t>Medio</t>
        </is>
      </c>
      <c r="I1" s="29" t="inlineStr">
        <is>
          <t>Banco</t>
        </is>
      </c>
      <c r="J1" s="29" t="inlineStr">
        <is>
          <t>Referencia</t>
        </is>
      </c>
      <c r="K1" s="29" t="inlineStr">
        <is>
          <t>ValorBanco</t>
        </is>
      </c>
      <c r="L1" s="29" t="inlineStr">
        <is>
          <t>DiferenciaBanco</t>
        </is>
      </c>
      <c r="M1" s="29" t="inlineStr">
        <is>
          <t>EstadoConciliacion</t>
        </is>
      </c>
      <c r="N1" s="29" t="inlineStr">
        <is>
          <t>Observacion</t>
        </is>
      </c>
    </row>
    <row r="2">
      <c r="A2" s="5" t="inlineStr">
        <is>
          <t>RC-2026-001</t>
        </is>
      </c>
      <c r="B2" s="5" t="inlineStr">
        <is>
          <t>C010</t>
        </is>
      </c>
      <c r="C2" s="5">
        <f>IFERROR(INDEX(Clientes!$B$2:$B$21,MATCH(B2,Clientes!$A$2:$A$21,0)),"")</f>
        <v/>
      </c>
      <c r="D2" s="30" t="n">
        <v>46225</v>
      </c>
      <c r="E2" s="31" t="n">
        <v>4221000</v>
      </c>
      <c r="F2" s="31">
        <f>SUMIFS(Aplicacion!$E$2:$E$41,Aplicacion!$A$2:$A$41,A2)</f>
        <v/>
      </c>
      <c r="G2" s="37">
        <f>E2-F2</f>
        <v/>
      </c>
      <c r="H2" s="5" t="inlineStr">
        <is>
          <t>PSE</t>
        </is>
      </c>
      <c r="I2" s="5" t="inlineStr">
        <is>
          <t>Banco de Bogotá</t>
        </is>
      </c>
      <c r="J2" s="5" t="inlineStr">
        <is>
          <t>PAGO-0001</t>
        </is>
      </c>
      <c r="K2" s="31">
        <f>SUMIFS(Extracto!$D$2:$D$36,Extracto!$B$2:$B$36,J2)</f>
        <v/>
      </c>
      <c r="L2" s="31">
        <f>K2-E2</f>
        <v/>
      </c>
      <c r="M2" s="5">
        <f>IF(K2=0,"Pago sin banco",IF(ABS(L2)&lt;1,"Conciliado","Diferencia de valor"))</f>
        <v/>
      </c>
      <c r="N2" s="5" t="inlineStr">
        <is>
          <t>Recaudo aplicado a facturas</t>
        </is>
      </c>
    </row>
    <row r="3">
      <c r="A3" s="5" t="inlineStr">
        <is>
          <t>RC-2026-002</t>
        </is>
      </c>
      <c r="B3" s="5" t="inlineStr">
        <is>
          <t>C019</t>
        </is>
      </c>
      <c r="C3" s="5">
        <f>IFERROR(INDEX(Clientes!$B$2:$B$21,MATCH(B3,Clientes!$A$2:$A$21,0)),"")</f>
        <v/>
      </c>
      <c r="D3" s="30" t="n">
        <v>46182</v>
      </c>
      <c r="E3" s="31" t="n">
        <v>6138000</v>
      </c>
      <c r="F3" s="31">
        <f>SUMIFS(Aplicacion!$E$2:$E$41,Aplicacion!$A$2:$A$41,A3)</f>
        <v/>
      </c>
      <c r="G3" s="37">
        <f>E3-F3</f>
        <v/>
      </c>
      <c r="H3" s="5" t="inlineStr">
        <is>
          <t>Transferencia</t>
        </is>
      </c>
      <c r="I3" s="5" t="inlineStr">
        <is>
          <t>Banco de Bogotá</t>
        </is>
      </c>
      <c r="J3" s="5" t="inlineStr">
        <is>
          <t>PAGO-0002</t>
        </is>
      </c>
      <c r="K3" s="31">
        <f>SUMIFS(Extracto!$D$2:$D$36,Extracto!$B$2:$B$36,J3)</f>
        <v/>
      </c>
      <c r="L3" s="31">
        <f>K3-E3</f>
        <v/>
      </c>
      <c r="M3" s="5">
        <f>IF(K3=0,"Pago sin banco",IF(ABS(L3)&lt;1,"Conciliado","Diferencia de valor"))</f>
        <v/>
      </c>
      <c r="N3" s="5" t="inlineStr">
        <is>
          <t>Recaudo aplicado a facturas</t>
        </is>
      </c>
    </row>
    <row r="4">
      <c r="A4" s="5" t="inlineStr">
        <is>
          <t>RC-2026-003</t>
        </is>
      </c>
      <c r="B4" s="5" t="inlineStr">
        <is>
          <t>C018</t>
        </is>
      </c>
      <c r="C4" s="5">
        <f>IFERROR(INDEX(Clientes!$B$2:$B$21,MATCH(B4,Clientes!$A$2:$A$21,0)),"")</f>
        <v/>
      </c>
      <c r="D4" s="30" t="n">
        <v>46258</v>
      </c>
      <c r="E4" s="31" t="n">
        <v>9925000</v>
      </c>
      <c r="F4" s="31">
        <f>SUMIFS(Aplicacion!$E$2:$E$41,Aplicacion!$A$2:$A$41,A4)</f>
        <v/>
      </c>
      <c r="G4" s="37">
        <f>E4-F4</f>
        <v/>
      </c>
      <c r="H4" s="5" t="inlineStr">
        <is>
          <t>Efectivo</t>
        </is>
      </c>
      <c r="I4" s="5" t="inlineStr">
        <is>
          <t>BBVA</t>
        </is>
      </c>
      <c r="J4" s="5" t="inlineStr">
        <is>
          <t>PAGO-0003</t>
        </is>
      </c>
      <c r="K4" s="31">
        <f>SUMIFS(Extracto!$D$2:$D$36,Extracto!$B$2:$B$36,J4)</f>
        <v/>
      </c>
      <c r="L4" s="31">
        <f>K4-E4</f>
        <v/>
      </c>
      <c r="M4" s="5">
        <f>IF(K4=0,"Pago sin banco",IF(ABS(L4)&lt;1,"Conciliado","Diferencia de valor"))</f>
        <v/>
      </c>
      <c r="N4" s="5" t="inlineStr">
        <is>
          <t>Incluye valor pendiente de aplicar</t>
        </is>
      </c>
    </row>
    <row r="5">
      <c r="A5" s="5" t="inlineStr">
        <is>
          <t>RC-2026-004</t>
        </is>
      </c>
      <c r="B5" s="5" t="inlineStr">
        <is>
          <t>C017</t>
        </is>
      </c>
      <c r="C5" s="5">
        <f>IFERROR(INDEX(Clientes!$B$2:$B$21,MATCH(B5,Clientes!$A$2:$A$21,0)),"")</f>
        <v/>
      </c>
      <c r="D5" s="30" t="n">
        <v>46286</v>
      </c>
      <c r="E5" s="31" t="n">
        <v>1643000</v>
      </c>
      <c r="F5" s="31">
        <f>SUMIFS(Aplicacion!$E$2:$E$41,Aplicacion!$A$2:$A$41,A5)</f>
        <v/>
      </c>
      <c r="G5" s="37">
        <f>E5-F5</f>
        <v/>
      </c>
      <c r="H5" s="5" t="inlineStr">
        <is>
          <t>PSE</t>
        </is>
      </c>
      <c r="I5" s="5" t="inlineStr">
        <is>
          <t>Davivienda</t>
        </is>
      </c>
      <c r="J5" s="5" t="inlineStr">
        <is>
          <t>PAGO-0004</t>
        </is>
      </c>
      <c r="K5" s="31">
        <f>SUMIFS(Extracto!$D$2:$D$36,Extracto!$B$2:$B$36,J5)</f>
        <v/>
      </c>
      <c r="L5" s="31">
        <f>K5-E5</f>
        <v/>
      </c>
      <c r="M5" s="5">
        <f>IF(K5=0,"Pago sin banco",IF(ABS(L5)&lt;1,"Conciliado","Diferencia de valor"))</f>
        <v/>
      </c>
      <c r="N5" s="5" t="inlineStr">
        <is>
          <t>Recaudo aplicado a facturas</t>
        </is>
      </c>
    </row>
    <row r="6">
      <c r="A6" s="5" t="inlineStr">
        <is>
          <t>RC-2026-005</t>
        </is>
      </c>
      <c r="B6" s="5" t="inlineStr">
        <is>
          <t>C003</t>
        </is>
      </c>
      <c r="C6" s="5">
        <f>IFERROR(INDEX(Clientes!$B$2:$B$21,MATCH(B6,Clientes!$A$2:$A$21,0)),"")</f>
        <v/>
      </c>
      <c r="D6" s="30" t="n">
        <v>46293</v>
      </c>
      <c r="E6" s="31" t="n">
        <v>1569000</v>
      </c>
      <c r="F6" s="31">
        <f>SUMIFS(Aplicacion!$E$2:$E$41,Aplicacion!$A$2:$A$41,A6)</f>
        <v/>
      </c>
      <c r="G6" s="37">
        <f>E6-F6</f>
        <v/>
      </c>
      <c r="H6" s="5" t="inlineStr">
        <is>
          <t>PSE</t>
        </is>
      </c>
      <c r="I6" s="5" t="inlineStr">
        <is>
          <t>Banco de Bogotá</t>
        </is>
      </c>
      <c r="J6" s="5" t="inlineStr">
        <is>
          <t>PAGO-0005</t>
        </is>
      </c>
      <c r="K6" s="31">
        <f>SUMIFS(Extracto!$D$2:$D$36,Extracto!$B$2:$B$36,J6)</f>
        <v/>
      </c>
      <c r="L6" s="31">
        <f>K6-E6</f>
        <v/>
      </c>
      <c r="M6" s="5">
        <f>IF(K6=0,"Pago sin banco",IF(ABS(L6)&lt;1,"Conciliado","Diferencia de valor"))</f>
        <v/>
      </c>
      <c r="N6" s="5" t="inlineStr">
        <is>
          <t>Recaudo aplicado a facturas</t>
        </is>
      </c>
    </row>
    <row r="7">
      <c r="A7" s="5" t="inlineStr">
        <is>
          <t>RC-2026-006</t>
        </is>
      </c>
      <c r="B7" s="5" t="inlineStr">
        <is>
          <t>C014</t>
        </is>
      </c>
      <c r="C7" s="5">
        <f>IFERROR(INDEX(Clientes!$B$2:$B$21,MATCH(B7,Clientes!$A$2:$A$21,0)),"")</f>
        <v/>
      </c>
      <c r="D7" s="30" t="n">
        <v>46207</v>
      </c>
      <c r="E7" s="31" t="n">
        <v>2704000</v>
      </c>
      <c r="F7" s="31">
        <f>SUMIFS(Aplicacion!$E$2:$E$41,Aplicacion!$A$2:$A$41,A7)</f>
        <v/>
      </c>
      <c r="G7" s="37">
        <f>E7-F7</f>
        <v/>
      </c>
      <c r="H7" s="5" t="inlineStr">
        <is>
          <t>Transferencia</t>
        </is>
      </c>
      <c r="I7" s="5" t="inlineStr">
        <is>
          <t>BBVA</t>
        </is>
      </c>
      <c r="J7" s="5" t="inlineStr">
        <is>
          <t>PAGO-0006</t>
        </is>
      </c>
      <c r="K7" s="31">
        <f>SUMIFS(Extracto!$D$2:$D$36,Extracto!$B$2:$B$36,J7)</f>
        <v/>
      </c>
      <c r="L7" s="31">
        <f>K7-E7</f>
        <v/>
      </c>
      <c r="M7" s="5">
        <f>IF(K7=0,"Pago sin banco",IF(ABS(L7)&lt;1,"Conciliado","Diferencia de valor"))</f>
        <v/>
      </c>
      <c r="N7" s="5" t="inlineStr">
        <is>
          <t>Recaudo aplicado a facturas</t>
        </is>
      </c>
    </row>
    <row r="8">
      <c r="A8" s="5" t="inlineStr">
        <is>
          <t>RC-2026-007</t>
        </is>
      </c>
      <c r="B8" s="5" t="inlineStr">
        <is>
          <t>C010</t>
        </is>
      </c>
      <c r="C8" s="5">
        <f>IFERROR(INDEX(Clientes!$B$2:$B$21,MATCH(B8,Clientes!$A$2:$A$21,0)),"")</f>
        <v/>
      </c>
      <c r="D8" s="30" t="n">
        <v>46258</v>
      </c>
      <c r="E8" s="31" t="n">
        <v>6025000</v>
      </c>
      <c r="F8" s="31">
        <f>SUMIFS(Aplicacion!$E$2:$E$41,Aplicacion!$A$2:$A$41,A8)</f>
        <v/>
      </c>
      <c r="G8" s="37">
        <f>E8-F8</f>
        <v/>
      </c>
      <c r="H8" s="5" t="inlineStr">
        <is>
          <t>PSE</t>
        </is>
      </c>
      <c r="I8" s="5" t="inlineStr">
        <is>
          <t>Bancolombia</t>
        </is>
      </c>
      <c r="J8" s="5" t="inlineStr">
        <is>
          <t>PAGO-0007</t>
        </is>
      </c>
      <c r="K8" s="31">
        <f>SUMIFS(Extracto!$D$2:$D$36,Extracto!$B$2:$B$36,J8)</f>
        <v/>
      </c>
      <c r="L8" s="31">
        <f>K8-E8</f>
        <v/>
      </c>
      <c r="M8" s="5">
        <f>IF(K8=0,"Pago sin banco",IF(ABS(L8)&lt;1,"Conciliado","Diferencia de valor"))</f>
        <v/>
      </c>
      <c r="N8" s="5" t="inlineStr">
        <is>
          <t>Recaudo aplicado a facturas</t>
        </is>
      </c>
    </row>
    <row r="9">
      <c r="A9" s="5" t="inlineStr">
        <is>
          <t>RC-2026-008</t>
        </is>
      </c>
      <c r="B9" s="5" t="inlineStr">
        <is>
          <t>C011</t>
        </is>
      </c>
      <c r="C9" s="5">
        <f>IFERROR(INDEX(Clientes!$B$2:$B$21,MATCH(B9,Clientes!$A$2:$A$21,0)),"")</f>
        <v/>
      </c>
      <c r="D9" s="30" t="n">
        <v>46270</v>
      </c>
      <c r="E9" s="31" t="n">
        <v>3145000</v>
      </c>
      <c r="F9" s="31">
        <f>SUMIFS(Aplicacion!$E$2:$E$41,Aplicacion!$A$2:$A$41,A9)</f>
        <v/>
      </c>
      <c r="G9" s="37">
        <f>E9-F9</f>
        <v/>
      </c>
      <c r="H9" s="5" t="inlineStr">
        <is>
          <t>PSE</t>
        </is>
      </c>
      <c r="I9" s="5" t="inlineStr">
        <is>
          <t>Banco de Bogotá</t>
        </is>
      </c>
      <c r="J9" s="5" t="inlineStr">
        <is>
          <t>PAGO-0008</t>
        </is>
      </c>
      <c r="K9" s="31">
        <f>SUMIFS(Extracto!$D$2:$D$36,Extracto!$B$2:$B$36,J9)</f>
        <v/>
      </c>
      <c r="L9" s="31">
        <f>K9-E9</f>
        <v/>
      </c>
      <c r="M9" s="5">
        <f>IF(K9=0,"Pago sin banco",IF(ABS(L9)&lt;1,"Conciliado","Diferencia de valor"))</f>
        <v/>
      </c>
      <c r="N9" s="5" t="inlineStr">
        <is>
          <t>Recaudo aplicado a facturas</t>
        </is>
      </c>
    </row>
    <row r="10">
      <c r="A10" s="5" t="inlineStr">
        <is>
          <t>RC-2026-009</t>
        </is>
      </c>
      <c r="B10" s="5" t="inlineStr">
        <is>
          <t>C016</t>
        </is>
      </c>
      <c r="C10" s="5">
        <f>IFERROR(INDEX(Clientes!$B$2:$B$21,MATCH(B10,Clientes!$A$2:$A$21,0)),"")</f>
        <v/>
      </c>
      <c r="D10" s="30" t="n">
        <v>46236</v>
      </c>
      <c r="E10" s="31" t="n">
        <v>6191000</v>
      </c>
      <c r="F10" s="31">
        <f>SUMIFS(Aplicacion!$E$2:$E$41,Aplicacion!$A$2:$A$41,A10)</f>
        <v/>
      </c>
      <c r="G10" s="37">
        <f>E10-F10</f>
        <v/>
      </c>
      <c r="H10" s="5" t="inlineStr">
        <is>
          <t>Efectivo</t>
        </is>
      </c>
      <c r="I10" s="5" t="inlineStr">
        <is>
          <t>Davivienda</t>
        </is>
      </c>
      <c r="J10" s="5" t="inlineStr">
        <is>
          <t>PAGO-0009</t>
        </is>
      </c>
      <c r="K10" s="31">
        <f>SUMIFS(Extracto!$D$2:$D$36,Extracto!$B$2:$B$36,J10)</f>
        <v/>
      </c>
      <c r="L10" s="31">
        <f>K10-E10</f>
        <v/>
      </c>
      <c r="M10" s="5">
        <f>IF(K10=0,"Pago sin banco",IF(ABS(L10)&lt;1,"Conciliado","Diferencia de valor"))</f>
        <v/>
      </c>
      <c r="N10" s="5" t="inlineStr">
        <is>
          <t>Recaudo aplicado a facturas</t>
        </is>
      </c>
    </row>
    <row r="11">
      <c r="A11" s="5" t="inlineStr">
        <is>
          <t>RC-2026-010</t>
        </is>
      </c>
      <c r="B11" s="5" t="inlineStr">
        <is>
          <t>C001</t>
        </is>
      </c>
      <c r="C11" s="5">
        <f>IFERROR(INDEX(Clientes!$B$2:$B$21,MATCH(B11,Clientes!$A$2:$A$21,0)),"")</f>
        <v/>
      </c>
      <c r="D11" s="30" t="n">
        <v>46291</v>
      </c>
      <c r="E11" s="31" t="n">
        <v>2183000</v>
      </c>
      <c r="F11" s="31">
        <f>SUMIFS(Aplicacion!$E$2:$E$41,Aplicacion!$A$2:$A$41,A11)</f>
        <v/>
      </c>
      <c r="G11" s="37">
        <f>E11-F11</f>
        <v/>
      </c>
      <c r="H11" s="5" t="inlineStr">
        <is>
          <t>Cheque</t>
        </is>
      </c>
      <c r="I11" s="5" t="inlineStr">
        <is>
          <t>Davivienda</t>
        </is>
      </c>
      <c r="J11" s="5" t="inlineStr">
        <is>
          <t>PAGO-0010</t>
        </is>
      </c>
      <c r="K11" s="31">
        <f>SUMIFS(Extracto!$D$2:$D$36,Extracto!$B$2:$B$36,J11)</f>
        <v/>
      </c>
      <c r="L11" s="31">
        <f>K11-E11</f>
        <v/>
      </c>
      <c r="M11" s="5">
        <f>IF(K11=0,"Pago sin banco",IF(ABS(L11)&lt;1,"Conciliado","Diferencia de valor"))</f>
        <v/>
      </c>
      <c r="N11" s="5" t="inlineStr">
        <is>
          <t>Recaudo aplicado a facturas</t>
        </is>
      </c>
    </row>
    <row r="12">
      <c r="A12" s="5" t="inlineStr">
        <is>
          <t>RC-2026-011</t>
        </is>
      </c>
      <c r="B12" s="5" t="inlineStr">
        <is>
          <t>C004</t>
        </is>
      </c>
      <c r="C12" s="5">
        <f>IFERROR(INDEX(Clientes!$B$2:$B$21,MATCH(B12,Clientes!$A$2:$A$21,0)),"")</f>
        <v/>
      </c>
      <c r="D12" s="30" t="n">
        <v>46265</v>
      </c>
      <c r="E12" s="31" t="n">
        <v>910000</v>
      </c>
      <c r="F12" s="31">
        <f>SUMIFS(Aplicacion!$E$2:$E$41,Aplicacion!$A$2:$A$41,A12)</f>
        <v/>
      </c>
      <c r="G12" s="37">
        <f>E12-F12</f>
        <v/>
      </c>
      <c r="H12" s="5" t="inlineStr">
        <is>
          <t>PSE</t>
        </is>
      </c>
      <c r="I12" s="5" t="inlineStr">
        <is>
          <t>BBVA</t>
        </is>
      </c>
      <c r="J12" s="5" t="inlineStr">
        <is>
          <t>PAGO-0011</t>
        </is>
      </c>
      <c r="K12" s="31">
        <f>SUMIFS(Extracto!$D$2:$D$36,Extracto!$B$2:$B$36,J12)</f>
        <v/>
      </c>
      <c r="L12" s="31">
        <f>K12-E12</f>
        <v/>
      </c>
      <c r="M12" s="5">
        <f>IF(K12=0,"Pago sin banco",IF(ABS(L12)&lt;1,"Conciliado","Diferencia de valor"))</f>
        <v/>
      </c>
      <c r="N12" s="5" t="inlineStr">
        <is>
          <t>Incluye valor pendiente de aplicar</t>
        </is>
      </c>
    </row>
    <row r="13">
      <c r="A13" s="5" t="inlineStr">
        <is>
          <t>RC-2026-012</t>
        </is>
      </c>
      <c r="B13" s="5" t="inlineStr">
        <is>
          <t>C019</t>
        </is>
      </c>
      <c r="C13" s="5">
        <f>IFERROR(INDEX(Clientes!$B$2:$B$21,MATCH(B13,Clientes!$A$2:$A$21,0)),"")</f>
        <v/>
      </c>
      <c r="D13" s="30" t="n">
        <v>46225</v>
      </c>
      <c r="E13" s="31" t="n">
        <v>689000</v>
      </c>
      <c r="F13" s="31">
        <f>SUMIFS(Aplicacion!$E$2:$E$41,Aplicacion!$A$2:$A$41,A13)</f>
        <v/>
      </c>
      <c r="G13" s="37">
        <f>E13-F13</f>
        <v/>
      </c>
      <c r="H13" s="5" t="inlineStr">
        <is>
          <t>PSE</t>
        </is>
      </c>
      <c r="I13" s="5" t="inlineStr">
        <is>
          <t>Banco de Bogotá</t>
        </is>
      </c>
      <c r="J13" s="5" t="inlineStr">
        <is>
          <t>PAGO-0012</t>
        </is>
      </c>
      <c r="K13" s="31">
        <f>SUMIFS(Extracto!$D$2:$D$36,Extracto!$B$2:$B$36,J13)</f>
        <v/>
      </c>
      <c r="L13" s="31">
        <f>K13-E13</f>
        <v/>
      </c>
      <c r="M13" s="5">
        <f>IF(K13=0,"Pago sin banco",IF(ABS(L13)&lt;1,"Conciliado","Diferencia de valor"))</f>
        <v/>
      </c>
      <c r="N13" s="5" t="inlineStr">
        <is>
          <t>Recaudo aplicado a facturas</t>
        </is>
      </c>
    </row>
    <row r="14">
      <c r="A14" s="5" t="inlineStr">
        <is>
          <t>RC-2026-013</t>
        </is>
      </c>
      <c r="B14" s="5" t="inlineStr">
        <is>
          <t>C017</t>
        </is>
      </c>
      <c r="C14" s="5">
        <f>IFERROR(INDEX(Clientes!$B$2:$B$21,MATCH(B14,Clientes!$A$2:$A$21,0)),"")</f>
        <v/>
      </c>
      <c r="D14" s="30" t="n">
        <v>46291</v>
      </c>
      <c r="E14" s="31" t="n">
        <v>986000</v>
      </c>
      <c r="F14" s="31">
        <f>SUMIFS(Aplicacion!$E$2:$E$41,Aplicacion!$A$2:$A$41,A14)</f>
        <v/>
      </c>
      <c r="G14" s="37">
        <f>E14-F14</f>
        <v/>
      </c>
      <c r="H14" s="5" t="inlineStr">
        <is>
          <t>Transferencia</t>
        </is>
      </c>
      <c r="I14" s="5" t="inlineStr">
        <is>
          <t>Davivienda</t>
        </is>
      </c>
      <c r="J14" s="5" t="inlineStr">
        <is>
          <t>PAGO-0013</t>
        </is>
      </c>
      <c r="K14" s="31">
        <f>SUMIFS(Extracto!$D$2:$D$36,Extracto!$B$2:$B$36,J14)</f>
        <v/>
      </c>
      <c r="L14" s="31">
        <f>K14-E14</f>
        <v/>
      </c>
      <c r="M14" s="5">
        <f>IF(K14=0,"Pago sin banco",IF(ABS(L14)&lt;1,"Conciliado","Diferencia de valor"))</f>
        <v/>
      </c>
      <c r="N14" s="5" t="inlineStr">
        <is>
          <t>Recaudo aplicado a facturas</t>
        </is>
      </c>
    </row>
    <row r="15">
      <c r="A15" s="5" t="inlineStr">
        <is>
          <t>RC-2026-014</t>
        </is>
      </c>
      <c r="B15" s="5" t="inlineStr">
        <is>
          <t>C015</t>
        </is>
      </c>
      <c r="C15" s="5">
        <f>IFERROR(INDEX(Clientes!$B$2:$B$21,MATCH(B15,Clientes!$A$2:$A$21,0)),"")</f>
        <v/>
      </c>
      <c r="D15" s="30" t="n">
        <v>46289</v>
      </c>
      <c r="E15" s="31" t="n">
        <v>6009000</v>
      </c>
      <c r="F15" s="31">
        <f>SUMIFS(Aplicacion!$E$2:$E$41,Aplicacion!$A$2:$A$41,A15)</f>
        <v/>
      </c>
      <c r="G15" s="37">
        <f>E15-F15</f>
        <v/>
      </c>
      <c r="H15" s="5" t="inlineStr">
        <is>
          <t>Transferencia</t>
        </is>
      </c>
      <c r="I15" s="5" t="inlineStr">
        <is>
          <t>BBVA</t>
        </is>
      </c>
      <c r="J15" s="5" t="inlineStr">
        <is>
          <t>PAGO-0014</t>
        </is>
      </c>
      <c r="K15" s="31">
        <f>SUMIFS(Extracto!$D$2:$D$36,Extracto!$B$2:$B$36,J15)</f>
        <v/>
      </c>
      <c r="L15" s="31">
        <f>K15-E15</f>
        <v/>
      </c>
      <c r="M15" s="5">
        <f>IF(K15=0,"Pago sin banco",IF(ABS(L15)&lt;1,"Conciliado","Diferencia de valor"))</f>
        <v/>
      </c>
      <c r="N15" s="5" t="inlineStr">
        <is>
          <t>Recaudo aplicado a facturas</t>
        </is>
      </c>
    </row>
    <row r="16">
      <c r="A16" s="5" t="inlineStr">
        <is>
          <t>RC-2026-015</t>
        </is>
      </c>
      <c r="B16" s="5" t="inlineStr">
        <is>
          <t>C003</t>
        </is>
      </c>
      <c r="C16" s="5">
        <f>IFERROR(INDEX(Clientes!$B$2:$B$21,MATCH(B16,Clientes!$A$2:$A$21,0)),"")</f>
        <v/>
      </c>
      <c r="D16" s="30" t="n">
        <v>46261</v>
      </c>
      <c r="E16" s="31" t="n">
        <v>1726000</v>
      </c>
      <c r="F16" s="31">
        <f>SUMIFS(Aplicacion!$E$2:$E$41,Aplicacion!$A$2:$A$41,A16)</f>
        <v/>
      </c>
      <c r="G16" s="37">
        <f>E16-F16</f>
        <v/>
      </c>
      <c r="H16" s="5" t="inlineStr">
        <is>
          <t>Transferencia</t>
        </is>
      </c>
      <c r="I16" s="5" t="inlineStr">
        <is>
          <t>Bancolombia</t>
        </is>
      </c>
      <c r="J16" s="5" t="inlineStr">
        <is>
          <t>PAGO-0015</t>
        </is>
      </c>
      <c r="K16" s="31">
        <f>SUMIFS(Extracto!$D$2:$D$36,Extracto!$B$2:$B$36,J16)</f>
        <v/>
      </c>
      <c r="L16" s="31">
        <f>K16-E16</f>
        <v/>
      </c>
      <c r="M16" s="5">
        <f>IF(K16=0,"Pago sin banco",IF(ABS(L16)&lt;1,"Conciliado","Diferencia de valor"))</f>
        <v/>
      </c>
      <c r="N16" s="5" t="inlineStr">
        <is>
          <t>Recaudo aplicado a facturas</t>
        </is>
      </c>
    </row>
    <row r="17">
      <c r="A17" s="5" t="inlineStr">
        <is>
          <t>RC-2026-016</t>
        </is>
      </c>
      <c r="B17" s="5" t="inlineStr">
        <is>
          <t>C006</t>
        </is>
      </c>
      <c r="C17" s="5">
        <f>IFERROR(INDEX(Clientes!$B$2:$B$21,MATCH(B17,Clientes!$A$2:$A$21,0)),"")</f>
        <v/>
      </c>
      <c r="D17" s="30" t="n">
        <v>46281</v>
      </c>
      <c r="E17" s="31" t="n">
        <v>6338000</v>
      </c>
      <c r="F17" s="31">
        <f>SUMIFS(Aplicacion!$E$2:$E$41,Aplicacion!$A$2:$A$41,A17)</f>
        <v/>
      </c>
      <c r="G17" s="37">
        <f>E17-F17</f>
        <v/>
      </c>
      <c r="H17" s="5" t="inlineStr">
        <is>
          <t>Efectivo</t>
        </is>
      </c>
      <c r="I17" s="5" t="inlineStr">
        <is>
          <t>Bancolombia</t>
        </is>
      </c>
      <c r="J17" s="5" t="inlineStr">
        <is>
          <t>PAGO-0016</t>
        </is>
      </c>
      <c r="K17" s="31">
        <f>SUMIFS(Extracto!$D$2:$D$36,Extracto!$B$2:$B$36,J17)</f>
        <v/>
      </c>
      <c r="L17" s="31">
        <f>K17-E17</f>
        <v/>
      </c>
      <c r="M17" s="5">
        <f>IF(K17=0,"Pago sin banco",IF(ABS(L17)&lt;1,"Conciliado","Diferencia de valor"))</f>
        <v/>
      </c>
      <c r="N17" s="5" t="inlineStr">
        <is>
          <t>Recaudo aplicado a facturas</t>
        </is>
      </c>
    </row>
    <row r="18">
      <c r="A18" s="5" t="inlineStr">
        <is>
          <t>RC-2026-017</t>
        </is>
      </c>
      <c r="B18" s="5" t="inlineStr">
        <is>
          <t>C005</t>
        </is>
      </c>
      <c r="C18" s="5">
        <f>IFERROR(INDEX(Clientes!$B$2:$B$21,MATCH(B18,Clientes!$A$2:$A$21,0)),"")</f>
        <v/>
      </c>
      <c r="D18" s="30" t="n">
        <v>46158</v>
      </c>
      <c r="E18" s="31" t="n">
        <v>2306000</v>
      </c>
      <c r="F18" s="31">
        <f>SUMIFS(Aplicacion!$E$2:$E$41,Aplicacion!$A$2:$A$41,A18)</f>
        <v/>
      </c>
      <c r="G18" s="37">
        <f>E18-F18</f>
        <v/>
      </c>
      <c r="H18" s="5" t="inlineStr">
        <is>
          <t>PSE</t>
        </is>
      </c>
      <c r="I18" s="5" t="inlineStr">
        <is>
          <t>Davivienda</t>
        </is>
      </c>
      <c r="J18" s="5" t="inlineStr">
        <is>
          <t>PAGO-0017</t>
        </is>
      </c>
      <c r="K18" s="31">
        <f>SUMIFS(Extracto!$D$2:$D$36,Extracto!$B$2:$B$36,J18)</f>
        <v/>
      </c>
      <c r="L18" s="31">
        <f>K18-E18</f>
        <v/>
      </c>
      <c r="M18" s="5">
        <f>IF(K18=0,"Pago sin banco",IF(ABS(L18)&lt;1,"Conciliado","Diferencia de valor"))</f>
        <v/>
      </c>
      <c r="N18" s="5" t="inlineStr">
        <is>
          <t>Recaudo aplicado a facturas</t>
        </is>
      </c>
    </row>
    <row r="19">
      <c r="A19" s="5" t="inlineStr">
        <is>
          <t>RC-2026-018</t>
        </is>
      </c>
      <c r="B19" s="5" t="inlineStr">
        <is>
          <t>C019</t>
        </is>
      </c>
      <c r="C19" s="5">
        <f>IFERROR(INDEX(Clientes!$B$2:$B$21,MATCH(B19,Clientes!$A$2:$A$21,0)),"")</f>
        <v/>
      </c>
      <c r="D19" s="30" t="n">
        <v>46152</v>
      </c>
      <c r="E19" s="31" t="n">
        <v>3828000</v>
      </c>
      <c r="F19" s="31">
        <f>SUMIFS(Aplicacion!$E$2:$E$41,Aplicacion!$A$2:$A$41,A19)</f>
        <v/>
      </c>
      <c r="G19" s="37">
        <f>E19-F19</f>
        <v/>
      </c>
      <c r="H19" s="5" t="inlineStr">
        <is>
          <t>Transferencia</t>
        </is>
      </c>
      <c r="I19" s="5" t="inlineStr">
        <is>
          <t>Bancolombia</t>
        </is>
      </c>
      <c r="J19" s="5" t="inlineStr">
        <is>
          <t>PAGO-0018</t>
        </is>
      </c>
      <c r="K19" s="31">
        <f>SUMIFS(Extracto!$D$2:$D$36,Extracto!$B$2:$B$36,J19)</f>
        <v/>
      </c>
      <c r="L19" s="31">
        <f>K19-E19</f>
        <v/>
      </c>
      <c r="M19" s="5">
        <f>IF(K19=0,"Pago sin banco",IF(ABS(L19)&lt;1,"Conciliado","Diferencia de valor"))</f>
        <v/>
      </c>
      <c r="N19" s="5" t="inlineStr">
        <is>
          <t>Recaudo aplicado a facturas</t>
        </is>
      </c>
    </row>
    <row r="20">
      <c r="A20" s="5" t="inlineStr">
        <is>
          <t>RC-2026-019</t>
        </is>
      </c>
      <c r="B20" s="5" t="inlineStr">
        <is>
          <t>C017</t>
        </is>
      </c>
      <c r="C20" s="5">
        <f>IFERROR(INDEX(Clientes!$B$2:$B$21,MATCH(B20,Clientes!$A$2:$A$21,0)),"")</f>
        <v/>
      </c>
      <c r="D20" s="30" t="n">
        <v>46277</v>
      </c>
      <c r="E20" s="31" t="n">
        <v>110000</v>
      </c>
      <c r="F20" s="31">
        <f>SUMIFS(Aplicacion!$E$2:$E$41,Aplicacion!$A$2:$A$41,A20)</f>
        <v/>
      </c>
      <c r="G20" s="37">
        <f>E20-F20</f>
        <v/>
      </c>
      <c r="H20" s="5" t="inlineStr">
        <is>
          <t>PSE</t>
        </is>
      </c>
      <c r="I20" s="5" t="inlineStr">
        <is>
          <t>Bancolombia</t>
        </is>
      </c>
      <c r="J20" s="5" t="inlineStr">
        <is>
          <t>PAGO-0019</t>
        </is>
      </c>
      <c r="K20" s="31">
        <f>SUMIFS(Extracto!$D$2:$D$36,Extracto!$B$2:$B$36,J20)</f>
        <v/>
      </c>
      <c r="L20" s="31">
        <f>K20-E20</f>
        <v/>
      </c>
      <c r="M20" s="5">
        <f>IF(K20=0,"Pago sin banco",IF(ABS(L20)&lt;1,"Conciliado","Diferencia de valor"))</f>
        <v/>
      </c>
      <c r="N20" s="5" t="inlineStr">
        <is>
          <t>Recaudo aplicado a facturas</t>
        </is>
      </c>
    </row>
    <row r="21">
      <c r="A21" s="5" t="inlineStr">
        <is>
          <t>RC-2026-020</t>
        </is>
      </c>
      <c r="B21" s="5" t="inlineStr">
        <is>
          <t>C008</t>
        </is>
      </c>
      <c r="C21" s="5">
        <f>IFERROR(INDEX(Clientes!$B$2:$B$21,MATCH(B21,Clientes!$A$2:$A$21,0)),"")</f>
        <v/>
      </c>
      <c r="D21" s="30" t="n">
        <v>46281</v>
      </c>
      <c r="E21" s="31" t="n">
        <v>6178000</v>
      </c>
      <c r="F21" s="31">
        <f>SUMIFS(Aplicacion!$E$2:$E$41,Aplicacion!$A$2:$A$41,A21)</f>
        <v/>
      </c>
      <c r="G21" s="37">
        <f>E21-F21</f>
        <v/>
      </c>
      <c r="H21" s="5" t="inlineStr">
        <is>
          <t>Cheque</t>
        </is>
      </c>
      <c r="I21" s="5" t="inlineStr">
        <is>
          <t>Banco de Bogotá</t>
        </is>
      </c>
      <c r="J21" s="5" t="inlineStr">
        <is>
          <t>PAGO-0020</t>
        </is>
      </c>
      <c r="K21" s="31">
        <f>SUMIFS(Extracto!$D$2:$D$36,Extracto!$B$2:$B$36,J21)</f>
        <v/>
      </c>
      <c r="L21" s="31">
        <f>K21-E21</f>
        <v/>
      </c>
      <c r="M21" s="5">
        <f>IF(K21=0,"Pago sin banco",IF(ABS(L21)&lt;1,"Conciliado","Diferencia de valor"))</f>
        <v/>
      </c>
      <c r="N21" s="5" t="inlineStr">
        <is>
          <t>Recaudo aplicado a facturas</t>
        </is>
      </c>
    </row>
    <row r="22">
      <c r="A22" s="5" t="inlineStr">
        <is>
          <t>RC-2026-021</t>
        </is>
      </c>
      <c r="B22" s="5" t="inlineStr">
        <is>
          <t>C009</t>
        </is>
      </c>
      <c r="C22" s="5">
        <f>IFERROR(INDEX(Clientes!$B$2:$B$21,MATCH(B22,Clientes!$A$2:$A$21,0)),"")</f>
        <v/>
      </c>
      <c r="D22" s="30" t="n">
        <v>46291</v>
      </c>
      <c r="E22" s="31" t="n">
        <v>4078000</v>
      </c>
      <c r="F22" s="31">
        <f>SUMIFS(Aplicacion!$E$2:$E$41,Aplicacion!$A$2:$A$41,A22)</f>
        <v/>
      </c>
      <c r="G22" s="37">
        <f>E22-F22</f>
        <v/>
      </c>
      <c r="H22" s="5" t="inlineStr">
        <is>
          <t>Transferencia</t>
        </is>
      </c>
      <c r="I22" s="5" t="inlineStr">
        <is>
          <t>Davivienda</t>
        </is>
      </c>
      <c r="J22" s="5" t="inlineStr">
        <is>
          <t>PAGO-0021</t>
        </is>
      </c>
      <c r="K22" s="31">
        <f>SUMIFS(Extracto!$D$2:$D$36,Extracto!$B$2:$B$36,J22)</f>
        <v/>
      </c>
      <c r="L22" s="31">
        <f>K22-E22</f>
        <v/>
      </c>
      <c r="M22" s="5">
        <f>IF(K22=0,"Pago sin banco",IF(ABS(L22)&lt;1,"Conciliado","Diferencia de valor"))</f>
        <v/>
      </c>
      <c r="N22" s="5" t="inlineStr">
        <is>
          <t>Recaudo aplicado a facturas</t>
        </is>
      </c>
    </row>
    <row r="23">
      <c r="A23" s="5" t="inlineStr">
        <is>
          <t>RC-2026-022</t>
        </is>
      </c>
      <c r="B23" s="5" t="inlineStr">
        <is>
          <t>C009</t>
        </is>
      </c>
      <c r="C23" s="5">
        <f>IFERROR(INDEX(Clientes!$B$2:$B$21,MATCH(B23,Clientes!$A$2:$A$21,0)),"")</f>
        <v/>
      </c>
      <c r="D23" s="30" t="n">
        <v>46291</v>
      </c>
      <c r="E23" s="31" t="n">
        <v>453000</v>
      </c>
      <c r="F23" s="31">
        <f>SUMIFS(Aplicacion!$E$2:$E$41,Aplicacion!$A$2:$A$41,A23)</f>
        <v/>
      </c>
      <c r="G23" s="37">
        <f>E23-F23</f>
        <v/>
      </c>
      <c r="H23" s="5" t="inlineStr">
        <is>
          <t>Efectivo</t>
        </is>
      </c>
      <c r="I23" s="5" t="inlineStr">
        <is>
          <t>Bancolombia</t>
        </is>
      </c>
      <c r="J23" s="5" t="inlineStr">
        <is>
          <t>PAGO-0022</t>
        </is>
      </c>
      <c r="K23" s="31">
        <f>SUMIFS(Extracto!$D$2:$D$36,Extracto!$B$2:$B$36,J23)</f>
        <v/>
      </c>
      <c r="L23" s="31">
        <f>K23-E23</f>
        <v/>
      </c>
      <c r="M23" s="5">
        <f>IF(K23=0,"Pago sin banco",IF(ABS(L23)&lt;1,"Conciliado","Diferencia de valor"))</f>
        <v/>
      </c>
      <c r="N23" s="5" t="inlineStr">
        <is>
          <t>Recaudo aplicado a facturas</t>
        </is>
      </c>
    </row>
    <row r="24">
      <c r="A24" s="5" t="inlineStr">
        <is>
          <t>RC-2026-023</t>
        </is>
      </c>
      <c r="B24" s="5" t="inlineStr">
        <is>
          <t>C014</t>
        </is>
      </c>
      <c r="C24" s="5">
        <f>IFERROR(INDEX(Clientes!$B$2:$B$21,MATCH(B24,Clientes!$A$2:$A$21,0)),"")</f>
        <v/>
      </c>
      <c r="D24" s="30" t="n">
        <v>46276</v>
      </c>
      <c r="E24" s="31" t="n">
        <v>7407000</v>
      </c>
      <c r="F24" s="31">
        <f>SUMIFS(Aplicacion!$E$2:$E$41,Aplicacion!$A$2:$A$41,A24)</f>
        <v/>
      </c>
      <c r="G24" s="37">
        <f>E24-F24</f>
        <v/>
      </c>
      <c r="H24" s="5" t="inlineStr">
        <is>
          <t>PSE</t>
        </is>
      </c>
      <c r="I24" s="5" t="inlineStr">
        <is>
          <t>BBVA</t>
        </is>
      </c>
      <c r="J24" s="5" t="inlineStr">
        <is>
          <t>PAGO-0023</t>
        </is>
      </c>
      <c r="K24" s="31">
        <f>SUMIFS(Extracto!$D$2:$D$36,Extracto!$B$2:$B$36,J24)</f>
        <v/>
      </c>
      <c r="L24" s="31">
        <f>K24-E24</f>
        <v/>
      </c>
      <c r="M24" s="5">
        <f>IF(K24=0,"Pago sin banco",IF(ABS(L24)&lt;1,"Conciliado","Diferencia de valor"))</f>
        <v/>
      </c>
      <c r="N24" s="5" t="inlineStr">
        <is>
          <t>Incluye valor pendiente de aplicar</t>
        </is>
      </c>
    </row>
    <row r="25">
      <c r="A25" s="5" t="inlineStr">
        <is>
          <t>RC-2026-024</t>
        </is>
      </c>
      <c r="B25" s="5" t="inlineStr">
        <is>
          <t>C003</t>
        </is>
      </c>
      <c r="C25" s="5">
        <f>IFERROR(INDEX(Clientes!$B$2:$B$21,MATCH(B25,Clientes!$A$2:$A$21,0)),"")</f>
        <v/>
      </c>
      <c r="D25" s="30" t="n">
        <v>46276</v>
      </c>
      <c r="E25" s="31" t="n">
        <v>5982000</v>
      </c>
      <c r="F25" s="31">
        <f>SUMIFS(Aplicacion!$E$2:$E$41,Aplicacion!$A$2:$A$41,A25)</f>
        <v/>
      </c>
      <c r="G25" s="37">
        <f>E25-F25</f>
        <v/>
      </c>
      <c r="H25" s="5" t="inlineStr">
        <is>
          <t>Transferencia</t>
        </is>
      </c>
      <c r="I25" s="5" t="inlineStr">
        <is>
          <t>Banco de Bogotá</t>
        </is>
      </c>
      <c r="J25" s="5" t="inlineStr">
        <is>
          <t>PAGO-0024</t>
        </is>
      </c>
      <c r="K25" s="31">
        <f>SUMIFS(Extracto!$D$2:$D$36,Extracto!$B$2:$B$36,J25)</f>
        <v/>
      </c>
      <c r="L25" s="31">
        <f>K25-E25</f>
        <v/>
      </c>
      <c r="M25" s="5">
        <f>IF(K25=0,"Pago sin banco",IF(ABS(L25)&lt;1,"Conciliado","Diferencia de valor"))</f>
        <v/>
      </c>
      <c r="N25" s="5" t="inlineStr">
        <is>
          <t>Recaudo aplicado a facturas</t>
        </is>
      </c>
    </row>
    <row r="26">
      <c r="A26" s="5" t="inlineStr">
        <is>
          <t>RC-2026-025</t>
        </is>
      </c>
      <c r="B26" s="5" t="inlineStr">
        <is>
          <t>C004</t>
        </is>
      </c>
      <c r="C26" s="5">
        <f>IFERROR(INDEX(Clientes!$B$2:$B$21,MATCH(B26,Clientes!$A$2:$A$21,0)),"")</f>
        <v/>
      </c>
      <c r="D26" s="30" t="n">
        <v>46240</v>
      </c>
      <c r="E26" s="31" t="n">
        <v>541000</v>
      </c>
      <c r="F26" s="31">
        <f>SUMIFS(Aplicacion!$E$2:$E$41,Aplicacion!$A$2:$A$41,A26)</f>
        <v/>
      </c>
      <c r="G26" s="37">
        <f>E26-F26</f>
        <v/>
      </c>
      <c r="H26" s="5" t="inlineStr">
        <is>
          <t>PSE</t>
        </is>
      </c>
      <c r="I26" s="5" t="inlineStr">
        <is>
          <t>Davivienda</t>
        </is>
      </c>
      <c r="J26" s="5" t="inlineStr">
        <is>
          <t>PAGO-0025</t>
        </is>
      </c>
      <c r="K26" s="31">
        <f>SUMIFS(Extracto!$D$2:$D$36,Extracto!$B$2:$B$36,J26)</f>
        <v/>
      </c>
      <c r="L26" s="31">
        <f>K26-E26</f>
        <v/>
      </c>
      <c r="M26" s="5">
        <f>IF(K26=0,"Pago sin banco",IF(ABS(L26)&lt;1,"Conciliado","Diferencia de valor"))</f>
        <v/>
      </c>
      <c r="N26" s="5" t="inlineStr">
        <is>
          <t>Recaudo aplicado a facturas</t>
        </is>
      </c>
    </row>
    <row r="27">
      <c r="A27" s="5" t="inlineStr">
        <is>
          <t>RC-2026-026</t>
        </is>
      </c>
      <c r="B27" s="5" t="inlineStr">
        <is>
          <t>C002</t>
        </is>
      </c>
      <c r="C27" s="5">
        <f>IFERROR(INDEX(Clientes!$B$2:$B$21,MATCH(B27,Clientes!$A$2:$A$21,0)),"")</f>
        <v/>
      </c>
      <c r="D27" s="30" t="n">
        <v>46239</v>
      </c>
      <c r="E27" s="31" t="n">
        <v>1361000</v>
      </c>
      <c r="F27" s="31">
        <f>SUMIFS(Aplicacion!$E$2:$E$41,Aplicacion!$A$2:$A$41,A27)</f>
        <v/>
      </c>
      <c r="G27" s="37">
        <f>E27-F27</f>
        <v/>
      </c>
      <c r="H27" s="5" t="inlineStr">
        <is>
          <t>Cheque</t>
        </is>
      </c>
      <c r="I27" s="5" t="inlineStr">
        <is>
          <t>Banco de Bogotá</t>
        </is>
      </c>
      <c r="J27" s="5" t="inlineStr">
        <is>
          <t>PAGO-0026</t>
        </is>
      </c>
      <c r="K27" s="31">
        <f>SUMIFS(Extracto!$D$2:$D$36,Extracto!$B$2:$B$36,J27)</f>
        <v/>
      </c>
      <c r="L27" s="31">
        <f>K27-E27</f>
        <v/>
      </c>
      <c r="M27" s="5">
        <f>IF(K27=0,"Pago sin banco",IF(ABS(L27)&lt;1,"Conciliado","Diferencia de valor"))</f>
        <v/>
      </c>
      <c r="N27" s="5" t="inlineStr">
        <is>
          <t>Recaudo aplicado a facturas</t>
        </is>
      </c>
    </row>
    <row r="28">
      <c r="A28" s="5" t="inlineStr">
        <is>
          <t>RC-2026-027</t>
        </is>
      </c>
      <c r="B28" s="5" t="inlineStr">
        <is>
          <t>C019</t>
        </is>
      </c>
      <c r="C28" s="5">
        <f>IFERROR(INDEX(Clientes!$B$2:$B$21,MATCH(B28,Clientes!$A$2:$A$21,0)),"")</f>
        <v/>
      </c>
      <c r="D28" s="30" t="n">
        <v>46258</v>
      </c>
      <c r="E28" s="31" t="n">
        <v>506000</v>
      </c>
      <c r="F28" s="31">
        <f>SUMIFS(Aplicacion!$E$2:$E$41,Aplicacion!$A$2:$A$41,A28)</f>
        <v/>
      </c>
      <c r="G28" s="37">
        <f>E28-F28</f>
        <v/>
      </c>
      <c r="H28" s="5" t="inlineStr">
        <is>
          <t>PSE</t>
        </is>
      </c>
      <c r="I28" s="5" t="inlineStr">
        <is>
          <t>Banco de Bogotá</t>
        </is>
      </c>
      <c r="J28" s="5" t="inlineStr">
        <is>
          <t>PAGO-0027</t>
        </is>
      </c>
      <c r="K28" s="31">
        <f>SUMIFS(Extracto!$D$2:$D$36,Extracto!$B$2:$B$36,J28)</f>
        <v/>
      </c>
      <c r="L28" s="31">
        <f>K28-E28</f>
        <v/>
      </c>
      <c r="M28" s="5">
        <f>IF(K28=0,"Pago sin banco",IF(ABS(L28)&lt;1,"Conciliado","Diferencia de valor"))</f>
        <v/>
      </c>
      <c r="N28" s="5" t="inlineStr">
        <is>
          <t>Recaudo aplicado a facturas</t>
        </is>
      </c>
    </row>
    <row r="29">
      <c r="A29" s="5" t="inlineStr">
        <is>
          <t>RC-2026-028</t>
        </is>
      </c>
      <c r="B29" s="5" t="inlineStr">
        <is>
          <t>C001</t>
        </is>
      </c>
      <c r="C29" s="5">
        <f>IFERROR(INDEX(Clientes!$B$2:$B$21,MATCH(B29,Clientes!$A$2:$A$21,0)),"")</f>
        <v/>
      </c>
      <c r="D29" s="30" t="n">
        <v>46272</v>
      </c>
      <c r="E29" s="31" t="n">
        <v>1310000</v>
      </c>
      <c r="F29" s="31">
        <f>SUMIFS(Aplicacion!$E$2:$E$41,Aplicacion!$A$2:$A$41,A29)</f>
        <v/>
      </c>
      <c r="G29" s="37">
        <f>E29-F29</f>
        <v/>
      </c>
      <c r="H29" s="5" t="inlineStr">
        <is>
          <t>Efectivo</t>
        </is>
      </c>
      <c r="I29" s="5" t="inlineStr">
        <is>
          <t>Banco de Bogotá</t>
        </is>
      </c>
      <c r="J29" s="5" t="inlineStr">
        <is>
          <t>PAGO-0028</t>
        </is>
      </c>
      <c r="K29" s="31">
        <f>SUMIFS(Extracto!$D$2:$D$36,Extracto!$B$2:$B$36,J29)</f>
        <v/>
      </c>
      <c r="L29" s="31">
        <f>K29-E29</f>
        <v/>
      </c>
      <c r="M29" s="5">
        <f>IF(K29=0,"Pago sin banco",IF(ABS(L29)&lt;1,"Conciliado","Diferencia de valor"))</f>
        <v/>
      </c>
      <c r="N29" s="5" t="inlineStr">
        <is>
          <t>Recaudo aplicado a facturas</t>
        </is>
      </c>
    </row>
    <row r="30">
      <c r="A30" s="5" t="inlineStr">
        <is>
          <t>RC-2026-029</t>
        </is>
      </c>
      <c r="B30" s="5" t="inlineStr">
        <is>
          <t>C009</t>
        </is>
      </c>
      <c r="C30" s="5">
        <f>IFERROR(INDEX(Clientes!$B$2:$B$21,MATCH(B30,Clientes!$A$2:$A$21,0)),"")</f>
        <v/>
      </c>
      <c r="D30" s="30" t="n">
        <v>46277</v>
      </c>
      <c r="E30" s="31" t="n">
        <v>6001000</v>
      </c>
      <c r="F30" s="31">
        <f>SUMIFS(Aplicacion!$E$2:$E$41,Aplicacion!$A$2:$A$41,A30)</f>
        <v/>
      </c>
      <c r="G30" s="37">
        <f>E30-F30</f>
        <v/>
      </c>
      <c r="H30" s="5" t="inlineStr">
        <is>
          <t>PSE</t>
        </is>
      </c>
      <c r="I30" s="5" t="inlineStr">
        <is>
          <t>Banco de Bogotá</t>
        </is>
      </c>
      <c r="J30" s="5" t="inlineStr">
        <is>
          <t>PAGO-0029</t>
        </is>
      </c>
      <c r="K30" s="31">
        <f>SUMIFS(Extracto!$D$2:$D$36,Extracto!$B$2:$B$36,J30)</f>
        <v/>
      </c>
      <c r="L30" s="31">
        <f>K30-E30</f>
        <v/>
      </c>
      <c r="M30" s="5">
        <f>IF(K30=0,"Pago sin banco",IF(ABS(L30)&lt;1,"Conciliado","Diferencia de valor"))</f>
        <v/>
      </c>
      <c r="N30" s="5" t="inlineStr">
        <is>
          <t>Recaudo aplicado a facturas</t>
        </is>
      </c>
    </row>
    <row r="31">
      <c r="A31" s="5" t="inlineStr">
        <is>
          <t>RC-2026-030</t>
        </is>
      </c>
      <c r="B31" s="5" t="inlineStr">
        <is>
          <t>C019</t>
        </is>
      </c>
      <c r="C31" s="5">
        <f>IFERROR(INDEX(Clientes!$B$2:$B$21,MATCH(B31,Clientes!$A$2:$A$21,0)),"")</f>
        <v/>
      </c>
      <c r="D31" s="30" t="n">
        <v>46239</v>
      </c>
      <c r="E31" s="31" t="n">
        <v>337000</v>
      </c>
      <c r="F31" s="31">
        <f>SUMIFS(Aplicacion!$E$2:$E$41,Aplicacion!$A$2:$A$41,A31)</f>
        <v/>
      </c>
      <c r="G31" s="37">
        <f>E31-F31</f>
        <v/>
      </c>
      <c r="H31" s="5" t="inlineStr">
        <is>
          <t>Transferencia</t>
        </is>
      </c>
      <c r="I31" s="5" t="inlineStr">
        <is>
          <t>BBVA</t>
        </is>
      </c>
      <c r="J31" s="5" t="inlineStr">
        <is>
          <t>PAGO-0030</t>
        </is>
      </c>
      <c r="K31" s="31">
        <f>SUMIFS(Extracto!$D$2:$D$36,Extracto!$B$2:$B$36,J31)</f>
        <v/>
      </c>
      <c r="L31" s="31">
        <f>K31-E31</f>
        <v/>
      </c>
      <c r="M31" s="5">
        <f>IF(K31=0,"Pago sin banco",IF(ABS(L31)&lt;1,"Conciliado","Diferencia de valor"))</f>
        <v/>
      </c>
      <c r="N31" s="5" t="inlineStr">
        <is>
          <t>Recaudo aplicado a facturas</t>
        </is>
      </c>
    </row>
    <row r="32">
      <c r="A32" s="5" t="inlineStr">
        <is>
          <t>RC-2026-031</t>
        </is>
      </c>
      <c r="B32" s="5" t="inlineStr">
        <is>
          <t>C007</t>
        </is>
      </c>
      <c r="C32" s="5">
        <f>IFERROR(INDEX(Clientes!$B$2:$B$21,MATCH(B32,Clientes!$A$2:$A$21,0)),"")</f>
        <v/>
      </c>
      <c r="D32" s="30" t="n">
        <v>46274</v>
      </c>
      <c r="E32" s="31" t="n">
        <v>5245000</v>
      </c>
      <c r="F32" s="31">
        <f>SUMIFS(Aplicacion!$E$2:$E$41,Aplicacion!$A$2:$A$41,A32)</f>
        <v/>
      </c>
      <c r="G32" s="37">
        <f>E32-F32</f>
        <v/>
      </c>
      <c r="H32" s="5" t="inlineStr">
        <is>
          <t>PSE</t>
        </is>
      </c>
      <c r="I32" s="5" t="inlineStr">
        <is>
          <t>Davivienda</t>
        </is>
      </c>
      <c r="J32" s="5" t="inlineStr">
        <is>
          <t>PAGO-0031</t>
        </is>
      </c>
      <c r="K32" s="31">
        <f>SUMIFS(Extracto!$D$2:$D$36,Extracto!$B$2:$B$36,J32)</f>
        <v/>
      </c>
      <c r="L32" s="31">
        <f>K32-E32</f>
        <v/>
      </c>
      <c r="M32" s="5">
        <f>IF(K32=0,"Pago sin banco",IF(ABS(L32)&lt;1,"Conciliado","Diferencia de valor"))</f>
        <v/>
      </c>
      <c r="N32" s="5" t="inlineStr">
        <is>
          <t>Incluye valor pendiente de aplicar</t>
        </is>
      </c>
    </row>
    <row r="33">
      <c r="A33" s="5" t="inlineStr">
        <is>
          <t>RC-2026-032</t>
        </is>
      </c>
      <c r="B33" s="5" t="inlineStr">
        <is>
          <t>C010</t>
        </is>
      </c>
      <c r="C33" s="5">
        <f>IFERROR(INDEX(Clientes!$B$2:$B$21,MATCH(B33,Clientes!$A$2:$A$21,0)),"")</f>
        <v/>
      </c>
      <c r="D33" s="30" t="n">
        <v>46284</v>
      </c>
      <c r="E33" s="31" t="n">
        <v>552000</v>
      </c>
      <c r="F33" s="31">
        <f>SUMIFS(Aplicacion!$E$2:$E$41,Aplicacion!$A$2:$A$41,A33)</f>
        <v/>
      </c>
      <c r="G33" s="37">
        <f>E33-F33</f>
        <v/>
      </c>
      <c r="H33" s="5" t="inlineStr">
        <is>
          <t>Efectivo</t>
        </is>
      </c>
      <c r="I33" s="5" t="inlineStr">
        <is>
          <t>BBVA</t>
        </is>
      </c>
      <c r="J33" s="5" t="inlineStr">
        <is>
          <t>PAGO-0032</t>
        </is>
      </c>
      <c r="K33" s="31">
        <f>SUMIFS(Extracto!$D$2:$D$36,Extracto!$B$2:$B$36,J33)</f>
        <v/>
      </c>
      <c r="L33" s="31">
        <f>K33-E33</f>
        <v/>
      </c>
      <c r="M33" s="5">
        <f>IF(K33=0,"Pago sin banco",IF(ABS(L33)&lt;1,"Conciliado","Diferencia de valor"))</f>
        <v/>
      </c>
      <c r="N33" s="5" t="inlineStr">
        <is>
          <t>Recaudo aplicado a facturas</t>
        </is>
      </c>
    </row>
    <row r="34">
      <c r="A34" s="5" t="inlineStr">
        <is>
          <t>RC-2026-033</t>
        </is>
      </c>
      <c r="B34" s="5" t="inlineStr">
        <is>
          <t>C005</t>
        </is>
      </c>
      <c r="C34" s="5">
        <f>IFERROR(INDEX(Clientes!$B$2:$B$21,MATCH(B34,Clientes!$A$2:$A$21,0)),"")</f>
        <v/>
      </c>
      <c r="D34" s="30" t="n">
        <v>46209</v>
      </c>
      <c r="E34" s="31" t="n">
        <v>2537000</v>
      </c>
      <c r="F34" s="31">
        <f>SUMIFS(Aplicacion!$E$2:$E$41,Aplicacion!$A$2:$A$41,A34)</f>
        <v/>
      </c>
      <c r="G34" s="37">
        <f>E34-F34</f>
        <v/>
      </c>
      <c r="H34" s="5" t="inlineStr">
        <is>
          <t>Transferencia</t>
        </is>
      </c>
      <c r="I34" s="5" t="inlineStr">
        <is>
          <t>Bancolombia</t>
        </is>
      </c>
      <c r="J34" s="5" t="inlineStr">
        <is>
          <t>PAGO-0033</t>
        </is>
      </c>
      <c r="K34" s="31">
        <f>SUMIFS(Extracto!$D$2:$D$36,Extracto!$B$2:$B$36,J34)</f>
        <v/>
      </c>
      <c r="L34" s="31">
        <f>K34-E34</f>
        <v/>
      </c>
      <c r="M34" s="5">
        <f>IF(K34=0,"Pago sin banco",IF(ABS(L34)&lt;1,"Conciliado","Diferencia de valor"))</f>
        <v/>
      </c>
      <c r="N34" s="5" t="inlineStr">
        <is>
          <t>Recaudo aplicado a facturas</t>
        </is>
      </c>
    </row>
    <row r="35">
      <c r="A35" s="5" t="inlineStr">
        <is>
          <t>RC-2026-034</t>
        </is>
      </c>
      <c r="B35" s="5" t="inlineStr">
        <is>
          <t>C005</t>
        </is>
      </c>
      <c r="C35" s="5">
        <f>IFERROR(INDEX(Clientes!$B$2:$B$21,MATCH(B35,Clientes!$A$2:$A$21,0)),"")</f>
        <v/>
      </c>
      <c r="D35" s="30" t="n">
        <v>46171</v>
      </c>
      <c r="E35" s="31" t="n">
        <v>212000</v>
      </c>
      <c r="F35" s="31">
        <f>SUMIFS(Aplicacion!$E$2:$E$41,Aplicacion!$A$2:$A$41,A35)</f>
        <v/>
      </c>
      <c r="G35" s="37">
        <f>E35-F35</f>
        <v/>
      </c>
      <c r="H35" s="5" t="inlineStr">
        <is>
          <t>Cheque</t>
        </is>
      </c>
      <c r="I35" s="5" t="inlineStr">
        <is>
          <t>BBVA</t>
        </is>
      </c>
      <c r="J35" s="5" t="inlineStr">
        <is>
          <t>PAGO-0034</t>
        </is>
      </c>
      <c r="K35" s="31">
        <f>SUMIFS(Extracto!$D$2:$D$36,Extracto!$B$2:$B$36,J35)</f>
        <v/>
      </c>
      <c r="L35" s="31">
        <f>K35-E35</f>
        <v/>
      </c>
      <c r="M35" s="5">
        <f>IF(K35=0,"Pago sin banco",IF(ABS(L35)&lt;1,"Conciliado","Diferencia de valor"))</f>
        <v/>
      </c>
      <c r="N35" s="5" t="inlineStr">
        <is>
          <t>Recaudo aplicado a facturas</t>
        </is>
      </c>
    </row>
    <row r="36">
      <c r="A36" s="5" t="inlineStr">
        <is>
          <t>RC-2026-035</t>
        </is>
      </c>
      <c r="B36" s="5" t="inlineStr">
        <is>
          <t>C005</t>
        </is>
      </c>
      <c r="C36" s="5">
        <f>IFERROR(INDEX(Clientes!$B$2:$B$21,MATCH(B36,Clientes!$A$2:$A$21,0)),"")</f>
        <v/>
      </c>
      <c r="D36" s="30" t="n">
        <v>46219</v>
      </c>
      <c r="E36" s="31" t="n">
        <v>32000</v>
      </c>
      <c r="F36" s="31">
        <f>SUMIFS(Aplicacion!$E$2:$E$41,Aplicacion!$A$2:$A$41,A36)</f>
        <v/>
      </c>
      <c r="G36" s="37">
        <f>E36-F36</f>
        <v/>
      </c>
      <c r="H36" s="5" t="inlineStr">
        <is>
          <t>Efectivo</t>
        </is>
      </c>
      <c r="I36" s="5" t="inlineStr">
        <is>
          <t>Davivienda</t>
        </is>
      </c>
      <c r="J36" s="5" t="inlineStr">
        <is>
          <t>PAGO-0035</t>
        </is>
      </c>
      <c r="K36" s="31">
        <f>SUMIFS(Extracto!$D$2:$D$36,Extracto!$B$2:$B$36,J36)</f>
        <v/>
      </c>
      <c r="L36" s="31">
        <f>K36-E36</f>
        <v/>
      </c>
      <c r="M36" s="5">
        <f>IF(K36=0,"Pago sin banco",IF(ABS(L36)&lt;1,"Conciliado","Diferencia de valor"))</f>
        <v/>
      </c>
      <c r="N36" s="5" t="inlineStr">
        <is>
          <t>Recaudo aplicado a facturas</t>
        </is>
      </c>
    </row>
  </sheetData>
  <autoFilter ref="A1:N3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6C8EBF"/>
    <outlinePr summaryBelow="1" summaryRight="1"/>
    <pageSetUpPr/>
  </sheetPr>
  <dimension ref="A1:G15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5" customWidth="1" min="3" max="3"/>
    <col width="11" customWidth="1" min="4" max="4"/>
    <col width="12" customWidth="1" min="5" max="5"/>
    <col width="14" customWidth="1" min="6" max="6"/>
    <col width="32" customWidth="1" min="7" max="7"/>
  </cols>
  <sheetData>
    <row r="1" ht="32" customHeight="1">
      <c r="A1" s="29" t="inlineStr">
        <is>
          <t>Tipo</t>
        </is>
      </c>
      <c r="B1" s="29" t="inlineStr">
        <is>
          <t>NotaID</t>
        </is>
      </c>
      <c r="C1" s="29" t="inlineStr">
        <is>
          <t>FacturaID</t>
        </is>
      </c>
      <c r="D1" s="29" t="inlineStr">
        <is>
          <t>ClienteID</t>
        </is>
      </c>
      <c r="E1" s="29" t="inlineStr">
        <is>
          <t>Fecha</t>
        </is>
      </c>
      <c r="F1" s="29" t="inlineStr">
        <is>
          <t>Valor</t>
        </is>
      </c>
      <c r="G1" s="29" t="inlineStr">
        <is>
          <t>Motivo</t>
        </is>
      </c>
    </row>
    <row r="2">
      <c r="A2" s="38" t="inlineStr">
        <is>
          <t>Crédito</t>
        </is>
      </c>
      <c r="B2" s="5" t="inlineStr">
        <is>
          <t>NC-2026-001</t>
        </is>
      </c>
      <c r="C2" s="5" t="inlineStr">
        <is>
          <t>FV-2026-040</t>
        </is>
      </c>
      <c r="D2" s="5" t="inlineStr">
        <is>
          <t>C019</t>
        </is>
      </c>
      <c r="E2" s="30" t="n">
        <v>46146</v>
      </c>
      <c r="F2" s="31" t="n">
        <v>269000</v>
      </c>
      <c r="G2" s="5" t="inlineStr">
        <is>
          <t>Devolución de mercancía</t>
        </is>
      </c>
    </row>
    <row r="3">
      <c r="A3" s="38" t="inlineStr">
        <is>
          <t>Crédito</t>
        </is>
      </c>
      <c r="B3" s="5" t="inlineStr">
        <is>
          <t>NC-2026-002</t>
        </is>
      </c>
      <c r="C3" s="5" t="inlineStr">
        <is>
          <t>FV-2026-050</t>
        </is>
      </c>
      <c r="D3" s="5" t="inlineStr">
        <is>
          <t>C006</t>
        </is>
      </c>
      <c r="E3" s="30" t="n">
        <v>46149</v>
      </c>
      <c r="F3" s="31" t="n">
        <v>538000</v>
      </c>
      <c r="G3" s="5" t="inlineStr">
        <is>
          <t>Ajuste por producto defectuoso</t>
        </is>
      </c>
    </row>
    <row r="4">
      <c r="A4" s="38" t="inlineStr">
        <is>
          <t>Crédito</t>
        </is>
      </c>
      <c r="B4" s="5" t="inlineStr">
        <is>
          <t>NC-2026-003</t>
        </is>
      </c>
      <c r="C4" s="5" t="inlineStr">
        <is>
          <t>FV-2026-034</t>
        </is>
      </c>
      <c r="D4" s="5" t="inlineStr">
        <is>
          <t>C019</t>
        </is>
      </c>
      <c r="E4" s="30" t="n">
        <v>46142</v>
      </c>
      <c r="F4" s="31" t="n">
        <v>326000</v>
      </c>
      <c r="G4" s="5" t="inlineStr">
        <is>
          <t>Error de facturación</t>
        </is>
      </c>
    </row>
    <row r="5">
      <c r="A5" s="38" t="inlineStr">
        <is>
          <t>Crédito</t>
        </is>
      </c>
      <c r="B5" s="5" t="inlineStr">
        <is>
          <t>NC-2026-004</t>
        </is>
      </c>
      <c r="C5" s="5" t="inlineStr">
        <is>
          <t>FV-2026-048</t>
        </is>
      </c>
      <c r="D5" s="5" t="inlineStr">
        <is>
          <t>C020</t>
        </is>
      </c>
      <c r="E5" s="30" t="n">
        <v>46295</v>
      </c>
      <c r="F5" s="31" t="n">
        <v>470000</v>
      </c>
      <c r="G5" s="5" t="inlineStr">
        <is>
          <t>Descuento comercial</t>
        </is>
      </c>
    </row>
    <row r="6">
      <c r="A6" s="38" t="inlineStr">
        <is>
          <t>Crédito</t>
        </is>
      </c>
      <c r="B6" s="5" t="inlineStr">
        <is>
          <t>NC-2026-005</t>
        </is>
      </c>
      <c r="C6" s="5" t="inlineStr">
        <is>
          <t>FV-2026-002</t>
        </is>
      </c>
      <c r="D6" s="5" t="inlineStr">
        <is>
          <t>C002</t>
        </is>
      </c>
      <c r="E6" s="30" t="n">
        <v>46187</v>
      </c>
      <c r="F6" s="31" t="n">
        <v>648000</v>
      </c>
      <c r="G6" s="5" t="inlineStr">
        <is>
          <t>Ajuste por producto defectuoso</t>
        </is>
      </c>
    </row>
    <row r="7">
      <c r="A7" s="38" t="inlineStr">
        <is>
          <t>Crédito</t>
        </is>
      </c>
      <c r="B7" s="5" t="inlineStr">
        <is>
          <t>NC-2026-006</t>
        </is>
      </c>
      <c r="C7" s="5" t="inlineStr">
        <is>
          <t>FV-2026-030</t>
        </is>
      </c>
      <c r="D7" s="5" t="inlineStr">
        <is>
          <t>C012</t>
        </is>
      </c>
      <c r="E7" s="30" t="n">
        <v>46134</v>
      </c>
      <c r="F7" s="31" t="n">
        <v>849000</v>
      </c>
      <c r="G7" s="5" t="inlineStr">
        <is>
          <t>Devolución de mercancía</t>
        </is>
      </c>
    </row>
    <row r="8">
      <c r="A8" s="38" t="inlineStr">
        <is>
          <t>Crédito</t>
        </is>
      </c>
      <c r="B8" s="5" t="inlineStr">
        <is>
          <t>NC-2026-007</t>
        </is>
      </c>
      <c r="C8" s="5" t="inlineStr">
        <is>
          <t>FV-2026-028</t>
        </is>
      </c>
      <c r="D8" s="5" t="inlineStr">
        <is>
          <t>C013</t>
        </is>
      </c>
      <c r="E8" s="30" t="n">
        <v>46234</v>
      </c>
      <c r="F8" s="31" t="n">
        <v>657000</v>
      </c>
      <c r="G8" s="5" t="inlineStr">
        <is>
          <t>Ajuste por producto defectuoso</t>
        </is>
      </c>
    </row>
    <row r="9">
      <c r="A9" s="38" t="inlineStr">
        <is>
          <t>Crédito</t>
        </is>
      </c>
      <c r="B9" s="5" t="inlineStr">
        <is>
          <t>NC-2026-008</t>
        </is>
      </c>
      <c r="C9" s="5" t="inlineStr">
        <is>
          <t>FV-2026-035</t>
        </is>
      </c>
      <c r="D9" s="5" t="inlineStr">
        <is>
          <t>C012</t>
        </is>
      </c>
      <c r="E9" s="30" t="n">
        <v>46216</v>
      </c>
      <c r="F9" s="31" t="n">
        <v>228000</v>
      </c>
      <c r="G9" s="5" t="inlineStr">
        <is>
          <t>Devolución de mercancía</t>
        </is>
      </c>
    </row>
    <row r="10">
      <c r="A10" s="39" t="inlineStr">
        <is>
          <t>Débito</t>
        </is>
      </c>
      <c r="B10" s="5" t="inlineStr">
        <is>
          <t>ND-2026-001</t>
        </is>
      </c>
      <c r="C10" s="5" t="inlineStr">
        <is>
          <t>FV-2026-036</t>
        </is>
      </c>
      <c r="D10" s="5" t="inlineStr">
        <is>
          <t>C004</t>
        </is>
      </c>
      <c r="E10" s="30" t="n">
        <v>46195</v>
      </c>
      <c r="F10" s="31" t="n">
        <v>64000</v>
      </c>
      <c r="G10" s="5" t="inlineStr">
        <is>
          <t>Flete adicional</t>
        </is>
      </c>
    </row>
    <row r="11">
      <c r="A11" s="39" t="inlineStr">
        <is>
          <t>Débito</t>
        </is>
      </c>
      <c r="B11" s="5" t="inlineStr">
        <is>
          <t>ND-2026-002</t>
        </is>
      </c>
      <c r="C11" s="5" t="inlineStr">
        <is>
          <t>FV-2026-005</t>
        </is>
      </c>
      <c r="D11" s="5" t="inlineStr">
        <is>
          <t>C005</t>
        </is>
      </c>
      <c r="E11" s="30" t="n">
        <v>46134</v>
      </c>
      <c r="F11" s="31" t="n">
        <v>359000</v>
      </c>
      <c r="G11" s="5" t="inlineStr">
        <is>
          <t>Ajuste de precio</t>
        </is>
      </c>
    </row>
    <row r="12">
      <c r="A12" s="39" t="inlineStr">
        <is>
          <t>Débito</t>
        </is>
      </c>
      <c r="B12" s="5" t="inlineStr">
        <is>
          <t>ND-2026-003</t>
        </is>
      </c>
      <c r="C12" s="5" t="inlineStr">
        <is>
          <t>FV-2026-045</t>
        </is>
      </c>
      <c r="D12" s="5" t="inlineStr">
        <is>
          <t>C007</t>
        </is>
      </c>
      <c r="E12" s="30" t="n">
        <v>46269</v>
      </c>
      <c r="F12" s="31" t="n">
        <v>53000</v>
      </c>
      <c r="G12" s="5" t="inlineStr">
        <is>
          <t>Intereses de mora</t>
        </is>
      </c>
    </row>
    <row r="13">
      <c r="A13" s="39" t="inlineStr">
        <is>
          <t>Débito</t>
        </is>
      </c>
      <c r="B13" s="5" t="inlineStr">
        <is>
          <t>ND-2026-004</t>
        </is>
      </c>
      <c r="C13" s="5" t="inlineStr">
        <is>
          <t>FV-2026-029</t>
        </is>
      </c>
      <c r="D13" s="5" t="inlineStr">
        <is>
          <t>C002</t>
        </is>
      </c>
      <c r="E13" s="30" t="n">
        <v>46195</v>
      </c>
      <c r="F13" s="31" t="n">
        <v>44000</v>
      </c>
      <c r="G13" s="5" t="inlineStr">
        <is>
          <t>Ajuste de precio</t>
        </is>
      </c>
    </row>
    <row r="14">
      <c r="A14" s="39" t="inlineStr">
        <is>
          <t>Débito</t>
        </is>
      </c>
      <c r="B14" s="5" t="inlineStr">
        <is>
          <t>ND-2026-005</t>
        </is>
      </c>
      <c r="C14" s="5" t="inlineStr">
        <is>
          <t>FV-2026-033</t>
        </is>
      </c>
      <c r="D14" s="5" t="inlineStr">
        <is>
          <t>C014</t>
        </is>
      </c>
      <c r="E14" s="30" t="n">
        <v>46159</v>
      </c>
      <c r="F14" s="31" t="n">
        <v>304000</v>
      </c>
      <c r="G14" s="5" t="inlineStr">
        <is>
          <t>Ajuste de precio</t>
        </is>
      </c>
    </row>
    <row r="15">
      <c r="A15" s="39" t="inlineStr">
        <is>
          <t>Débito</t>
        </is>
      </c>
      <c r="B15" s="5" t="inlineStr">
        <is>
          <t>ND-2026-006</t>
        </is>
      </c>
      <c r="C15" s="5" t="inlineStr">
        <is>
          <t>FV-2026-043</t>
        </is>
      </c>
      <c r="D15" s="5" t="inlineStr">
        <is>
          <t>C006</t>
        </is>
      </c>
      <c r="E15" s="30" t="n">
        <v>46216</v>
      </c>
      <c r="F15" s="31" t="n">
        <v>24000</v>
      </c>
      <c r="G15" s="5" t="inlineStr">
        <is>
          <t>Flete adicional</t>
        </is>
      </c>
    </row>
  </sheetData>
  <autoFilter ref="A1:G1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6C8EBF"/>
    <outlinePr summaryBelow="1" summaryRight="1"/>
    <pageSetUpPr/>
  </sheetPr>
  <dimension ref="A1:G51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30" customWidth="1" min="3" max="3"/>
    <col width="13" customWidth="1" min="4" max="4"/>
    <col width="16" customWidth="1" min="5" max="5"/>
    <col width="15" customWidth="1" min="6" max="6"/>
    <col width="25" customWidth="1" min="7" max="7"/>
  </cols>
  <sheetData>
    <row r="1" ht="32" customHeight="1">
      <c r="A1" s="29" t="inlineStr">
        <is>
          <t>FacturaID</t>
        </is>
      </c>
      <c r="B1" s="29" t="inlineStr">
        <is>
          <t>ClienteID</t>
        </is>
      </c>
      <c r="C1" s="29" t="inlineStr">
        <is>
          <t>Cliente</t>
        </is>
      </c>
      <c r="D1" s="29" t="inlineStr">
        <is>
          <t>FechaFactura</t>
        </is>
      </c>
      <c r="E1" s="29" t="inlineStr">
        <is>
          <t>FechaVencimiento</t>
        </is>
      </c>
      <c r="F1" s="29" t="inlineStr">
        <is>
          <t>ValorFactura</t>
        </is>
      </c>
      <c r="G1" s="29" t="inlineStr">
        <is>
          <t>Concepto</t>
        </is>
      </c>
    </row>
    <row r="2">
      <c r="A2" s="5" t="inlineStr">
        <is>
          <t>FV-2026-001</t>
        </is>
      </c>
      <c r="B2" s="5" t="inlineStr">
        <is>
          <t>C001</t>
        </is>
      </c>
      <c r="C2" s="5">
        <f>IFERROR(INDEX(Clientes!$B$2:$B$21,MATCH(B2,Clientes!$A$2:$A$21,0)),"")</f>
        <v/>
      </c>
      <c r="D2" s="30" t="n">
        <v>46231</v>
      </c>
      <c r="E2" s="30" t="n">
        <v>46261</v>
      </c>
      <c r="F2" s="31" t="n">
        <v>3638000</v>
      </c>
      <c r="G2" s="5" t="inlineStr">
        <is>
          <t>Pedido corporativo</t>
        </is>
      </c>
    </row>
    <row r="3">
      <c r="A3" s="5" t="inlineStr">
        <is>
          <t>FV-2026-002</t>
        </is>
      </c>
      <c r="B3" s="5" t="inlineStr">
        <is>
          <t>C002</t>
        </is>
      </c>
      <c r="C3" s="5">
        <f>IFERROR(INDEX(Clientes!$B$2:$B$21,MATCH(B3,Clientes!$A$2:$A$21,0)),"")</f>
        <v/>
      </c>
      <c r="D3" s="30" t="n">
        <v>46169</v>
      </c>
      <c r="E3" s="30" t="n">
        <v>46199</v>
      </c>
      <c r="F3" s="31" t="n">
        <v>5524000</v>
      </c>
      <c r="G3" s="5" t="inlineStr">
        <is>
          <t>Pedido corporativo</t>
        </is>
      </c>
    </row>
    <row r="4">
      <c r="A4" s="5" t="inlineStr">
        <is>
          <t>FV-2026-003</t>
        </is>
      </c>
      <c r="B4" s="5" t="inlineStr">
        <is>
          <t>C003</t>
        </is>
      </c>
      <c r="C4" s="5">
        <f>IFERROR(INDEX(Clientes!$B$2:$B$21,MATCH(B4,Clientes!$A$2:$A$21,0)),"")</f>
        <v/>
      </c>
      <c r="D4" s="30" t="n">
        <v>46241</v>
      </c>
      <c r="E4" s="30" t="n">
        <v>46286</v>
      </c>
      <c r="F4" s="31" t="n">
        <v>5790000</v>
      </c>
      <c r="G4" s="5" t="inlineStr">
        <is>
          <t>Pedido corporativo</t>
        </is>
      </c>
    </row>
    <row r="5">
      <c r="A5" s="5" t="inlineStr">
        <is>
          <t>FV-2026-004</t>
        </is>
      </c>
      <c r="B5" s="5" t="inlineStr">
        <is>
          <t>C004</t>
        </is>
      </c>
      <c r="C5" s="5">
        <f>IFERROR(INDEX(Clientes!$B$2:$B$21,MATCH(B5,Clientes!$A$2:$A$21,0)),"")</f>
        <v/>
      </c>
      <c r="D5" s="30" t="n">
        <v>46277</v>
      </c>
      <c r="E5" s="30" t="n">
        <v>46307</v>
      </c>
      <c r="F5" s="31" t="n">
        <v>3730000</v>
      </c>
      <c r="G5" s="5" t="inlineStr">
        <is>
          <t>Venta de mercancía</t>
        </is>
      </c>
    </row>
    <row r="6">
      <c r="A6" s="5" t="inlineStr">
        <is>
          <t>FV-2026-005</t>
        </is>
      </c>
      <c r="B6" s="5" t="inlineStr">
        <is>
          <t>C005</t>
        </is>
      </c>
      <c r="C6" s="5">
        <f>IFERROR(INDEX(Clientes!$B$2:$B$21,MATCH(B6,Clientes!$A$2:$A$21,0)),"")</f>
        <v/>
      </c>
      <c r="D6" s="30" t="n">
        <v>46125</v>
      </c>
      <c r="E6" s="30" t="n">
        <v>46155</v>
      </c>
      <c r="F6" s="31" t="n">
        <v>4766000</v>
      </c>
      <c r="G6" s="5" t="inlineStr">
        <is>
          <t>Servicio de suministro</t>
        </is>
      </c>
    </row>
    <row r="7">
      <c r="A7" s="5" t="inlineStr">
        <is>
          <t>FV-2026-006</t>
        </is>
      </c>
      <c r="B7" s="5" t="inlineStr">
        <is>
          <t>C006</t>
        </is>
      </c>
      <c r="C7" s="5">
        <f>IFERROR(INDEX(Clientes!$B$2:$B$21,MATCH(B7,Clientes!$A$2:$A$21,0)),"")</f>
        <v/>
      </c>
      <c r="D7" s="30" t="n">
        <v>46232</v>
      </c>
      <c r="E7" s="30" t="n">
        <v>46292</v>
      </c>
      <c r="F7" s="31" t="n">
        <v>7242000</v>
      </c>
      <c r="G7" s="5" t="inlineStr">
        <is>
          <t>Pedido corporativo</t>
        </is>
      </c>
    </row>
    <row r="8">
      <c r="A8" s="5" t="inlineStr">
        <is>
          <t>FV-2026-007</t>
        </is>
      </c>
      <c r="B8" s="5" t="inlineStr">
        <is>
          <t>C007</t>
        </is>
      </c>
      <c r="C8" s="5">
        <f>IFERROR(INDEX(Clientes!$B$2:$B$21,MATCH(B8,Clientes!$A$2:$A$21,0)),"")</f>
        <v/>
      </c>
      <c r="D8" s="30" t="n">
        <v>46223</v>
      </c>
      <c r="E8" s="30" t="n">
        <v>46268</v>
      </c>
      <c r="F8" s="31" t="n">
        <v>988000</v>
      </c>
      <c r="G8" s="5" t="inlineStr">
        <is>
          <t>Venta de mercancía</t>
        </is>
      </c>
    </row>
    <row r="9">
      <c r="A9" s="5" t="inlineStr">
        <is>
          <t>FV-2026-008</t>
        </is>
      </c>
      <c r="B9" s="5" t="inlineStr">
        <is>
          <t>C008</t>
        </is>
      </c>
      <c r="C9" s="5">
        <f>IFERROR(INDEX(Clientes!$B$2:$B$21,MATCH(B9,Clientes!$A$2:$A$21,0)),"")</f>
        <v/>
      </c>
      <c r="D9" s="30" t="n">
        <v>46240</v>
      </c>
      <c r="E9" s="30" t="n">
        <v>46270</v>
      </c>
      <c r="F9" s="31" t="n">
        <v>6864000</v>
      </c>
      <c r="G9" s="5" t="inlineStr">
        <is>
          <t>Venta de mercancía</t>
        </is>
      </c>
    </row>
    <row r="10">
      <c r="A10" s="5" t="inlineStr">
        <is>
          <t>FV-2026-009</t>
        </is>
      </c>
      <c r="B10" s="5" t="inlineStr">
        <is>
          <t>C009</t>
        </is>
      </c>
      <c r="C10" s="5">
        <f>IFERROR(INDEX(Clientes!$B$2:$B$21,MATCH(B10,Clientes!$A$2:$A$21,0)),"")</f>
        <v/>
      </c>
      <c r="D10" s="30" t="n">
        <v>46270</v>
      </c>
      <c r="E10" s="30" t="n">
        <v>46315</v>
      </c>
      <c r="F10" s="31" t="n">
        <v>4531000</v>
      </c>
      <c r="G10" s="5" t="inlineStr">
        <is>
          <t>Venta de mercancía</t>
        </is>
      </c>
    </row>
    <row r="11">
      <c r="A11" s="5" t="inlineStr">
        <is>
          <t>FV-2026-010</t>
        </is>
      </c>
      <c r="B11" s="5" t="inlineStr">
        <is>
          <t>C010</t>
        </is>
      </c>
      <c r="C11" s="5">
        <f>IFERROR(INDEX(Clientes!$B$2:$B$21,MATCH(B11,Clientes!$A$2:$A$21,0)),"")</f>
        <v/>
      </c>
      <c r="D11" s="30" t="n">
        <v>46209</v>
      </c>
      <c r="E11" s="30" t="n">
        <v>46239</v>
      </c>
      <c r="F11" s="31" t="n">
        <v>5522000</v>
      </c>
      <c r="G11" s="5" t="inlineStr">
        <is>
          <t>Venta de mercancía</t>
        </is>
      </c>
    </row>
    <row r="12">
      <c r="A12" s="5" t="inlineStr">
        <is>
          <t>FV-2026-011</t>
        </is>
      </c>
      <c r="B12" s="5" t="inlineStr">
        <is>
          <t>C011</t>
        </is>
      </c>
      <c r="C12" s="5">
        <f>IFERROR(INDEX(Clientes!$B$2:$B$21,MATCH(B12,Clientes!$A$2:$A$21,0)),"")</f>
        <v/>
      </c>
      <c r="D12" s="30" t="n">
        <v>46216</v>
      </c>
      <c r="E12" s="30" t="n">
        <v>46246</v>
      </c>
      <c r="F12" s="31" t="n">
        <v>7083000</v>
      </c>
      <c r="G12" s="5" t="inlineStr">
        <is>
          <t>Venta de mercancía</t>
        </is>
      </c>
    </row>
    <row r="13">
      <c r="A13" s="5" t="inlineStr">
        <is>
          <t>FV-2026-012</t>
        </is>
      </c>
      <c r="B13" s="5" t="inlineStr">
        <is>
          <t>C012</t>
        </is>
      </c>
      <c r="C13" s="5">
        <f>IFERROR(INDEX(Clientes!$B$2:$B$21,MATCH(B13,Clientes!$A$2:$A$21,0)),"")</f>
        <v/>
      </c>
      <c r="D13" s="30" t="n">
        <v>46114</v>
      </c>
      <c r="E13" s="30" t="n">
        <v>46129</v>
      </c>
      <c r="F13" s="31" t="n">
        <v>4340000</v>
      </c>
      <c r="G13" s="5" t="inlineStr">
        <is>
          <t>Servicio de suministro</t>
        </is>
      </c>
    </row>
    <row r="14">
      <c r="A14" s="5" t="inlineStr">
        <is>
          <t>FV-2026-013</t>
        </is>
      </c>
      <c r="B14" s="5" t="inlineStr">
        <is>
          <t>C013</t>
        </is>
      </c>
      <c r="C14" s="5">
        <f>IFERROR(INDEX(Clientes!$B$2:$B$21,MATCH(B14,Clientes!$A$2:$A$21,0)),"")</f>
        <v/>
      </c>
      <c r="D14" s="30" t="n">
        <v>46244</v>
      </c>
      <c r="E14" s="30" t="n">
        <v>46304</v>
      </c>
      <c r="F14" s="31" t="n">
        <v>6368000</v>
      </c>
      <c r="G14" s="5" t="inlineStr">
        <is>
          <t>Venta de mercancía</t>
        </is>
      </c>
    </row>
    <row r="15">
      <c r="A15" s="5" t="inlineStr">
        <is>
          <t>FV-2026-014</t>
        </is>
      </c>
      <c r="B15" s="5" t="inlineStr">
        <is>
          <t>C014</t>
        </is>
      </c>
      <c r="C15" s="5">
        <f>IFERROR(INDEX(Clientes!$B$2:$B$21,MATCH(B15,Clientes!$A$2:$A$21,0)),"")</f>
        <v/>
      </c>
      <c r="D15" s="30" t="n">
        <v>46164</v>
      </c>
      <c r="E15" s="30" t="n">
        <v>46209</v>
      </c>
      <c r="F15" s="31" t="n">
        <v>6008000</v>
      </c>
      <c r="G15" s="5" t="inlineStr">
        <is>
          <t>Pedido corporativo</t>
        </is>
      </c>
    </row>
    <row r="16">
      <c r="A16" s="5" t="inlineStr">
        <is>
          <t>FV-2026-015</t>
        </is>
      </c>
      <c r="B16" s="5" t="inlineStr">
        <is>
          <t>C015</t>
        </is>
      </c>
      <c r="C16" s="5">
        <f>IFERROR(INDEX(Clientes!$B$2:$B$21,MATCH(B16,Clientes!$A$2:$A$21,0)),"")</f>
        <v/>
      </c>
      <c r="D16" s="30" t="n">
        <v>46249</v>
      </c>
      <c r="E16" s="30" t="n">
        <v>46279</v>
      </c>
      <c r="F16" s="31" t="n">
        <v>6009000</v>
      </c>
      <c r="G16" s="5" t="inlineStr">
        <is>
          <t>Servicio de suministro</t>
        </is>
      </c>
    </row>
    <row r="17">
      <c r="A17" s="5" t="inlineStr">
        <is>
          <t>FV-2026-016</t>
        </is>
      </c>
      <c r="B17" s="5" t="inlineStr">
        <is>
          <t>C016</t>
        </is>
      </c>
      <c r="C17" s="5">
        <f>IFERROR(INDEX(Clientes!$B$2:$B$21,MATCH(B17,Clientes!$A$2:$A$21,0)),"")</f>
        <v/>
      </c>
      <c r="D17" s="30" t="n">
        <v>46202</v>
      </c>
      <c r="E17" s="30" t="n">
        <v>46232</v>
      </c>
      <c r="F17" s="31" t="n">
        <v>6191000</v>
      </c>
      <c r="G17" s="5" t="inlineStr">
        <is>
          <t>Servicio de suministro</t>
        </is>
      </c>
    </row>
    <row r="18">
      <c r="A18" s="5" t="inlineStr">
        <is>
          <t>FV-2026-017</t>
        </is>
      </c>
      <c r="B18" s="5" t="inlineStr">
        <is>
          <t>C017</t>
        </is>
      </c>
      <c r="C18" s="5">
        <f>IFERROR(INDEX(Clientes!$B$2:$B$21,MATCH(B18,Clientes!$A$2:$A$21,0)),"")</f>
        <v/>
      </c>
      <c r="D18" s="30" t="n">
        <v>46248</v>
      </c>
      <c r="E18" s="30" t="n">
        <v>46293</v>
      </c>
      <c r="F18" s="31" t="n">
        <v>2739000</v>
      </c>
      <c r="G18" s="5" t="inlineStr">
        <is>
          <t>Pedido corporativo</t>
        </is>
      </c>
    </row>
    <row r="19">
      <c r="A19" s="5" t="inlineStr">
        <is>
          <t>FV-2026-018</t>
        </is>
      </c>
      <c r="B19" s="5" t="inlineStr">
        <is>
          <t>C018</t>
        </is>
      </c>
      <c r="C19" s="5">
        <f>IFERROR(INDEX(Clientes!$B$2:$B$21,MATCH(B19,Clientes!$A$2:$A$21,0)),"")</f>
        <v/>
      </c>
      <c r="D19" s="30" t="n">
        <v>46159</v>
      </c>
      <c r="E19" s="30" t="n">
        <v>46174</v>
      </c>
      <c r="F19" s="31" t="n">
        <v>7303000</v>
      </c>
      <c r="G19" s="5" t="inlineStr">
        <is>
          <t>Servicio de suministro</t>
        </is>
      </c>
    </row>
    <row r="20">
      <c r="A20" s="5" t="inlineStr">
        <is>
          <t>FV-2026-019</t>
        </is>
      </c>
      <c r="B20" s="5" t="inlineStr">
        <is>
          <t>C019</t>
        </is>
      </c>
      <c r="C20" s="5">
        <f>IFERROR(INDEX(Clientes!$B$2:$B$21,MATCH(B20,Clientes!$A$2:$A$21,0)),"")</f>
        <v/>
      </c>
      <c r="D20" s="30" t="n">
        <v>46123</v>
      </c>
      <c r="E20" s="30" t="n">
        <v>46153</v>
      </c>
      <c r="F20" s="31" t="n">
        <v>4253000</v>
      </c>
      <c r="G20" s="5" t="inlineStr">
        <is>
          <t>Pedido corporativo</t>
        </is>
      </c>
    </row>
    <row r="21">
      <c r="A21" s="5" t="inlineStr">
        <is>
          <t>FV-2026-020</t>
        </is>
      </c>
      <c r="B21" s="5" t="inlineStr">
        <is>
          <t>C020</t>
        </is>
      </c>
      <c r="C21" s="5">
        <f>IFERROR(INDEX(Clientes!$B$2:$B$21,MATCH(B21,Clientes!$A$2:$A$21,0)),"")</f>
        <v/>
      </c>
      <c r="D21" s="30" t="n">
        <v>46259</v>
      </c>
      <c r="E21" s="30" t="n">
        <v>46289</v>
      </c>
      <c r="F21" s="31" t="n">
        <v>4530000</v>
      </c>
      <c r="G21" s="5" t="inlineStr">
        <is>
          <t>Servicio de suministro</t>
        </is>
      </c>
    </row>
    <row r="22">
      <c r="A22" s="5" t="inlineStr">
        <is>
          <t>FV-2026-021</t>
        </is>
      </c>
      <c r="B22" s="5" t="inlineStr">
        <is>
          <t>C001</t>
        </is>
      </c>
      <c r="C22" s="5">
        <f>IFERROR(INDEX(Clientes!$B$2:$B$21,MATCH(B22,Clientes!$A$2:$A$21,0)),"")</f>
        <v/>
      </c>
      <c r="D22" s="30" t="n">
        <v>46248</v>
      </c>
      <c r="E22" s="30" t="n">
        <v>46278</v>
      </c>
      <c r="F22" s="31" t="n">
        <v>3091000</v>
      </c>
      <c r="G22" s="5" t="inlineStr">
        <is>
          <t>Pedido corporativo</t>
        </is>
      </c>
    </row>
    <row r="23">
      <c r="A23" s="5" t="inlineStr">
        <is>
          <t>FV-2026-022</t>
        </is>
      </c>
      <c r="B23" s="5" t="inlineStr">
        <is>
          <t>C007</t>
        </is>
      </c>
      <c r="C23" s="5">
        <f>IFERROR(INDEX(Clientes!$B$2:$B$21,MATCH(B23,Clientes!$A$2:$A$21,0)),"")</f>
        <v/>
      </c>
      <c r="D23" s="30" t="n">
        <v>46200</v>
      </c>
      <c r="E23" s="30" t="n">
        <v>46245</v>
      </c>
      <c r="F23" s="31" t="n">
        <v>5361000</v>
      </c>
      <c r="G23" s="5" t="inlineStr">
        <is>
          <t>Servicio de suministro</t>
        </is>
      </c>
    </row>
    <row r="24">
      <c r="A24" s="5" t="inlineStr">
        <is>
          <t>FV-2026-023</t>
        </is>
      </c>
      <c r="B24" s="5" t="inlineStr">
        <is>
          <t>C006</t>
        </is>
      </c>
      <c r="C24" s="5">
        <f>IFERROR(INDEX(Clientes!$B$2:$B$21,MATCH(B24,Clientes!$A$2:$A$21,0)),"")</f>
        <v/>
      </c>
      <c r="D24" s="30" t="n">
        <v>46130</v>
      </c>
      <c r="E24" s="30" t="n">
        <v>46190</v>
      </c>
      <c r="F24" s="31" t="n">
        <v>1756000</v>
      </c>
      <c r="G24" s="5" t="inlineStr">
        <is>
          <t>Pedido corporativo</t>
        </is>
      </c>
    </row>
    <row r="25">
      <c r="A25" s="5" t="inlineStr">
        <is>
          <t>FV-2026-024</t>
        </is>
      </c>
      <c r="B25" s="5" t="inlineStr">
        <is>
          <t>C009</t>
        </is>
      </c>
      <c r="C25" s="5">
        <f>IFERROR(INDEX(Clientes!$B$2:$B$21,MATCH(B25,Clientes!$A$2:$A$21,0)),"")</f>
        <v/>
      </c>
      <c r="D25" s="30" t="n">
        <v>46224</v>
      </c>
      <c r="E25" s="30" t="n">
        <v>46269</v>
      </c>
      <c r="F25" s="31" t="n">
        <v>6668000</v>
      </c>
      <c r="G25" s="5" t="inlineStr">
        <is>
          <t>Servicio de suministro</t>
        </is>
      </c>
    </row>
    <row r="26">
      <c r="A26" s="5" t="inlineStr">
        <is>
          <t>FV-2026-025</t>
        </is>
      </c>
      <c r="B26" s="5" t="inlineStr">
        <is>
          <t>C011</t>
        </is>
      </c>
      <c r="C26" s="5">
        <f>IFERROR(INDEX(Clientes!$B$2:$B$21,MATCH(B26,Clientes!$A$2:$A$21,0)),"")</f>
        <v/>
      </c>
      <c r="D26" s="30" t="n">
        <v>46235</v>
      </c>
      <c r="E26" s="30" t="n">
        <v>46265</v>
      </c>
      <c r="F26" s="31" t="n">
        <v>5242000</v>
      </c>
      <c r="G26" s="5" t="inlineStr">
        <is>
          <t>Pedido corporativo</t>
        </is>
      </c>
    </row>
    <row r="27">
      <c r="A27" s="5" t="inlineStr">
        <is>
          <t>FV-2026-026</t>
        </is>
      </c>
      <c r="B27" s="5" t="inlineStr">
        <is>
          <t>C010</t>
        </is>
      </c>
      <c r="C27" s="5">
        <f>IFERROR(INDEX(Clientes!$B$2:$B$21,MATCH(B27,Clientes!$A$2:$A$21,0)),"")</f>
        <v/>
      </c>
      <c r="D27" s="30" t="n">
        <v>46179</v>
      </c>
      <c r="E27" s="30" t="n">
        <v>46209</v>
      </c>
      <c r="F27" s="31" t="n">
        <v>5628000</v>
      </c>
      <c r="G27" s="5" t="inlineStr">
        <is>
          <t>Venta de mercancía</t>
        </is>
      </c>
    </row>
    <row r="28">
      <c r="A28" s="5" t="inlineStr">
        <is>
          <t>FV-2026-027</t>
        </is>
      </c>
      <c r="B28" s="5" t="inlineStr">
        <is>
          <t>C002</t>
        </is>
      </c>
      <c r="C28" s="5">
        <f>IFERROR(INDEX(Clientes!$B$2:$B$21,MATCH(B28,Clientes!$A$2:$A$21,0)),"")</f>
        <v/>
      </c>
      <c r="D28" s="30" t="n">
        <v>46186</v>
      </c>
      <c r="E28" s="30" t="n">
        <v>46216</v>
      </c>
      <c r="F28" s="31" t="n">
        <v>1966000</v>
      </c>
      <c r="G28" s="5" t="inlineStr">
        <is>
          <t>Servicio de suministro</t>
        </is>
      </c>
    </row>
    <row r="29">
      <c r="A29" s="5" t="inlineStr">
        <is>
          <t>FV-2026-028</t>
        </is>
      </c>
      <c r="B29" s="5" t="inlineStr">
        <is>
          <t>C013</t>
        </is>
      </c>
      <c r="C29" s="5">
        <f>IFERROR(INDEX(Clientes!$B$2:$B$21,MATCH(B29,Clientes!$A$2:$A$21,0)),"")</f>
        <v/>
      </c>
      <c r="D29" s="30" t="n">
        <v>46218</v>
      </c>
      <c r="E29" s="30" t="n">
        <v>46278</v>
      </c>
      <c r="F29" s="31" t="n">
        <v>5676000</v>
      </c>
      <c r="G29" s="5" t="inlineStr">
        <is>
          <t>Venta de mercancía</t>
        </is>
      </c>
    </row>
    <row r="30">
      <c r="A30" s="5" t="inlineStr">
        <is>
          <t>FV-2026-029</t>
        </is>
      </c>
      <c r="B30" s="5" t="inlineStr">
        <is>
          <t>C002</t>
        </is>
      </c>
      <c r="C30" s="5">
        <f>IFERROR(INDEX(Clientes!$B$2:$B$21,MATCH(B30,Clientes!$A$2:$A$21,0)),"")</f>
        <v/>
      </c>
      <c r="D30" s="30" t="n">
        <v>46183</v>
      </c>
      <c r="E30" s="30" t="n">
        <v>46213</v>
      </c>
      <c r="F30" s="31" t="n">
        <v>1317000</v>
      </c>
      <c r="G30" s="5" t="inlineStr">
        <is>
          <t>Servicio de suministro</t>
        </is>
      </c>
    </row>
    <row r="31">
      <c r="A31" s="5" t="inlineStr">
        <is>
          <t>FV-2026-030</t>
        </is>
      </c>
      <c r="B31" s="5" t="inlineStr">
        <is>
          <t>C012</t>
        </is>
      </c>
      <c r="C31" s="5">
        <f>IFERROR(INDEX(Clientes!$B$2:$B$21,MATCH(B31,Clientes!$A$2:$A$21,0)),"")</f>
        <v/>
      </c>
      <c r="D31" s="30" t="n">
        <v>46116</v>
      </c>
      <c r="E31" s="30" t="n">
        <v>46131</v>
      </c>
      <c r="F31" s="31" t="n">
        <v>7381000</v>
      </c>
      <c r="G31" s="5" t="inlineStr">
        <is>
          <t>Pedido corporativo</t>
        </is>
      </c>
    </row>
    <row r="32">
      <c r="A32" s="5" t="inlineStr">
        <is>
          <t>FV-2026-031</t>
        </is>
      </c>
      <c r="B32" s="5" t="inlineStr">
        <is>
          <t>C007</t>
        </is>
      </c>
      <c r="C32" s="5">
        <f>IFERROR(INDEX(Clientes!$B$2:$B$21,MATCH(B32,Clientes!$A$2:$A$21,0)),"")</f>
        <v/>
      </c>
      <c r="D32" s="30" t="n">
        <v>46244</v>
      </c>
      <c r="E32" s="30" t="n">
        <v>46289</v>
      </c>
      <c r="F32" s="31" t="n">
        <v>7593000</v>
      </c>
      <c r="G32" s="5" t="inlineStr">
        <is>
          <t>Pedido corporativo</t>
        </is>
      </c>
    </row>
    <row r="33">
      <c r="A33" s="5" t="inlineStr">
        <is>
          <t>FV-2026-032</t>
        </is>
      </c>
      <c r="B33" s="5" t="inlineStr">
        <is>
          <t>C003</t>
        </is>
      </c>
      <c r="C33" s="5">
        <f>IFERROR(INDEX(Clientes!$B$2:$B$21,MATCH(B33,Clientes!$A$2:$A$21,0)),"")</f>
        <v/>
      </c>
      <c r="D33" s="30" t="n">
        <v>46212</v>
      </c>
      <c r="E33" s="30" t="n">
        <v>46257</v>
      </c>
      <c r="F33" s="31" t="n">
        <v>3487000</v>
      </c>
      <c r="G33" s="5" t="inlineStr">
        <is>
          <t>Pedido corporativo</t>
        </is>
      </c>
    </row>
    <row r="34">
      <c r="A34" s="5" t="inlineStr">
        <is>
          <t>FV-2026-033</t>
        </is>
      </c>
      <c r="B34" s="5" t="inlineStr">
        <is>
          <t>C014</t>
        </is>
      </c>
      <c r="C34" s="5">
        <f>IFERROR(INDEX(Clientes!$B$2:$B$21,MATCH(B34,Clientes!$A$2:$A$21,0)),"")</f>
        <v/>
      </c>
      <c r="D34" s="30" t="n">
        <v>46147</v>
      </c>
      <c r="E34" s="30" t="n">
        <v>46192</v>
      </c>
      <c r="F34" s="31" t="n">
        <v>6729000</v>
      </c>
      <c r="G34" s="5" t="inlineStr">
        <is>
          <t>Servicio de suministro</t>
        </is>
      </c>
    </row>
    <row r="35">
      <c r="A35" s="5" t="inlineStr">
        <is>
          <t>FV-2026-034</t>
        </is>
      </c>
      <c r="B35" s="5" t="inlineStr">
        <is>
          <t>C019</t>
        </is>
      </c>
      <c r="C35" s="5">
        <f>IFERROR(INDEX(Clientes!$B$2:$B$21,MATCH(B35,Clientes!$A$2:$A$21,0)),"")</f>
        <v/>
      </c>
      <c r="D35" s="30" t="n">
        <v>46126</v>
      </c>
      <c r="E35" s="30" t="n">
        <v>46156</v>
      </c>
      <c r="F35" s="31" t="n">
        <v>6455000</v>
      </c>
      <c r="G35" s="5" t="inlineStr">
        <is>
          <t>Pedido corporativo</t>
        </is>
      </c>
    </row>
    <row r="36">
      <c r="A36" s="5" t="inlineStr">
        <is>
          <t>FV-2026-035</t>
        </is>
      </c>
      <c r="B36" s="5" t="inlineStr">
        <is>
          <t>C012</t>
        </is>
      </c>
      <c r="C36" s="5">
        <f>IFERROR(INDEX(Clientes!$B$2:$B$21,MATCH(B36,Clientes!$A$2:$A$21,0)),"")</f>
        <v/>
      </c>
      <c r="D36" s="30" t="n">
        <v>46207</v>
      </c>
      <c r="E36" s="30" t="n">
        <v>46222</v>
      </c>
      <c r="F36" s="31" t="n">
        <v>3231000</v>
      </c>
      <c r="G36" s="5" t="inlineStr">
        <is>
          <t>Venta de mercancía</t>
        </is>
      </c>
    </row>
    <row r="37">
      <c r="A37" s="5" t="inlineStr">
        <is>
          <t>FV-2026-036</t>
        </is>
      </c>
      <c r="B37" s="5" t="inlineStr">
        <is>
          <t>C004</t>
        </is>
      </c>
      <c r="C37" s="5">
        <f>IFERROR(INDEX(Clientes!$B$2:$B$21,MATCH(B37,Clientes!$A$2:$A$21,0)),"")</f>
        <v/>
      </c>
      <c r="D37" s="30" t="n">
        <v>46179</v>
      </c>
      <c r="E37" s="30" t="n">
        <v>46209</v>
      </c>
      <c r="F37" s="31" t="n">
        <v>1247000</v>
      </c>
      <c r="G37" s="5" t="inlineStr">
        <is>
          <t>Servicio de suministro</t>
        </is>
      </c>
    </row>
    <row r="38">
      <c r="A38" s="5" t="inlineStr">
        <is>
          <t>FV-2026-037</t>
        </is>
      </c>
      <c r="B38" s="5" t="inlineStr">
        <is>
          <t>C020</t>
        </is>
      </c>
      <c r="C38" s="5">
        <f>IFERROR(INDEX(Clientes!$B$2:$B$21,MATCH(B38,Clientes!$A$2:$A$21,0)),"")</f>
        <v/>
      </c>
      <c r="D38" s="30" t="n">
        <v>46250</v>
      </c>
      <c r="E38" s="30" t="n">
        <v>46280</v>
      </c>
      <c r="F38" s="31" t="n">
        <v>1993000</v>
      </c>
      <c r="G38" s="5" t="inlineStr">
        <is>
          <t>Pedido corporativo</t>
        </is>
      </c>
    </row>
    <row r="39">
      <c r="A39" s="5" t="inlineStr">
        <is>
          <t>FV-2026-038</t>
        </is>
      </c>
      <c r="B39" s="5" t="inlineStr">
        <is>
          <t>C020</t>
        </is>
      </c>
      <c r="C39" s="5">
        <f>IFERROR(INDEX(Clientes!$B$2:$B$21,MATCH(B39,Clientes!$A$2:$A$21,0)),"")</f>
        <v/>
      </c>
      <c r="D39" s="30" t="n">
        <v>46247</v>
      </c>
      <c r="E39" s="30" t="n">
        <v>46277</v>
      </c>
      <c r="F39" s="31" t="n">
        <v>2142000</v>
      </c>
      <c r="G39" s="5" t="inlineStr">
        <is>
          <t>Venta de mercancía</t>
        </is>
      </c>
    </row>
    <row r="40">
      <c r="A40" s="5" t="inlineStr">
        <is>
          <t>FV-2026-039</t>
        </is>
      </c>
      <c r="B40" s="5" t="inlineStr">
        <is>
          <t>C003</t>
        </is>
      </c>
      <c r="C40" s="5">
        <f>IFERROR(INDEX(Clientes!$B$2:$B$21,MATCH(B40,Clientes!$A$2:$A$21,0)),"")</f>
        <v/>
      </c>
      <c r="D40" s="30" t="n">
        <v>46143</v>
      </c>
      <c r="E40" s="30" t="n">
        <v>46188</v>
      </c>
      <c r="F40" s="31" t="n">
        <v>7220000</v>
      </c>
      <c r="G40" s="5" t="inlineStr">
        <is>
          <t>Pedido corporativo</t>
        </is>
      </c>
    </row>
    <row r="41">
      <c r="A41" s="5" t="inlineStr">
        <is>
          <t>FV-2026-040</t>
        </is>
      </c>
      <c r="B41" s="5" t="inlineStr">
        <is>
          <t>C019</t>
        </is>
      </c>
      <c r="C41" s="5">
        <f>IFERROR(INDEX(Clientes!$B$2:$B$21,MATCH(B41,Clientes!$A$2:$A$21,0)),"")</f>
        <v/>
      </c>
      <c r="D41" s="30" t="n">
        <v>46137</v>
      </c>
      <c r="E41" s="30" t="n">
        <v>46167</v>
      </c>
      <c r="F41" s="31" t="n">
        <v>3694000</v>
      </c>
      <c r="G41" s="5" t="inlineStr">
        <is>
          <t>Pedido corporativo</t>
        </is>
      </c>
    </row>
    <row r="42">
      <c r="A42" s="5" t="inlineStr">
        <is>
          <t>FV-2026-041</t>
        </is>
      </c>
      <c r="B42" s="5" t="inlineStr">
        <is>
          <t>C006</t>
        </is>
      </c>
      <c r="C42" s="5">
        <f>IFERROR(INDEX(Clientes!$B$2:$B$21,MATCH(B42,Clientes!$A$2:$A$21,0)),"")</f>
        <v/>
      </c>
      <c r="D42" s="30" t="n">
        <v>46206</v>
      </c>
      <c r="E42" s="30" t="n">
        <v>46266</v>
      </c>
      <c r="F42" s="31" t="n">
        <v>4780000</v>
      </c>
      <c r="G42" s="5" t="inlineStr">
        <is>
          <t>Venta de mercancía</t>
        </is>
      </c>
    </row>
    <row r="43">
      <c r="A43" s="5" t="inlineStr">
        <is>
          <t>FV-2026-042</t>
        </is>
      </c>
      <c r="B43" s="5" t="inlineStr">
        <is>
          <t>C013</t>
        </is>
      </c>
      <c r="C43" s="5">
        <f>IFERROR(INDEX(Clientes!$B$2:$B$21,MATCH(B43,Clientes!$A$2:$A$21,0)),"")</f>
        <v/>
      </c>
      <c r="D43" s="30" t="n">
        <v>46134</v>
      </c>
      <c r="E43" s="30" t="n">
        <v>46194</v>
      </c>
      <c r="F43" s="31" t="n">
        <v>4225000</v>
      </c>
      <c r="G43" s="5" t="inlineStr">
        <is>
          <t>Venta de mercancía</t>
        </is>
      </c>
    </row>
    <row r="44">
      <c r="A44" s="5" t="inlineStr">
        <is>
          <t>FV-2026-043</t>
        </is>
      </c>
      <c r="B44" s="5" t="inlineStr">
        <is>
          <t>C006</t>
        </is>
      </c>
      <c r="C44" s="5">
        <f>IFERROR(INDEX(Clientes!$B$2:$B$21,MATCH(B44,Clientes!$A$2:$A$21,0)),"")</f>
        <v/>
      </c>
      <c r="D44" s="30" t="n">
        <v>46198</v>
      </c>
      <c r="E44" s="30" t="n">
        <v>46258</v>
      </c>
      <c r="F44" s="31" t="n">
        <v>1174000</v>
      </c>
      <c r="G44" s="5" t="inlineStr">
        <is>
          <t>Servicio de suministro</t>
        </is>
      </c>
    </row>
    <row r="45">
      <c r="A45" s="5" t="inlineStr">
        <is>
          <t>FV-2026-044</t>
        </is>
      </c>
      <c r="B45" s="5" t="inlineStr">
        <is>
          <t>C019</t>
        </is>
      </c>
      <c r="C45" s="5">
        <f>IFERROR(INDEX(Clientes!$B$2:$B$21,MATCH(B45,Clientes!$A$2:$A$21,0)),"")</f>
        <v/>
      </c>
      <c r="D45" s="30" t="n">
        <v>46129</v>
      </c>
      <c r="E45" s="30" t="n">
        <v>46159</v>
      </c>
      <c r="F45" s="31" t="n">
        <v>4371000</v>
      </c>
      <c r="G45" s="5" t="inlineStr">
        <is>
          <t>Venta de mercancía</t>
        </is>
      </c>
    </row>
    <row r="46">
      <c r="A46" s="5" t="inlineStr">
        <is>
          <t>FV-2026-045</t>
        </is>
      </c>
      <c r="B46" s="5" t="inlineStr">
        <is>
          <t>C007</t>
        </is>
      </c>
      <c r="C46" s="5">
        <f>IFERROR(INDEX(Clientes!$B$2:$B$21,MATCH(B46,Clientes!$A$2:$A$21,0)),"")</f>
        <v/>
      </c>
      <c r="D46" s="30" t="n">
        <v>46256</v>
      </c>
      <c r="E46" s="30" t="n">
        <v>46301</v>
      </c>
      <c r="F46" s="31" t="n">
        <v>1053000</v>
      </c>
      <c r="G46" s="5" t="inlineStr">
        <is>
          <t>Servicio de suministro</t>
        </is>
      </c>
    </row>
    <row r="47">
      <c r="A47" s="5" t="inlineStr">
        <is>
          <t>FV-2026-046</t>
        </is>
      </c>
      <c r="B47" s="5" t="inlineStr">
        <is>
          <t>C006</t>
        </is>
      </c>
      <c r="C47" s="5">
        <f>IFERROR(INDEX(Clientes!$B$2:$B$21,MATCH(B47,Clientes!$A$2:$A$21,0)),"")</f>
        <v/>
      </c>
      <c r="D47" s="30" t="n">
        <v>46224</v>
      </c>
      <c r="E47" s="30" t="n">
        <v>46284</v>
      </c>
      <c r="F47" s="31" t="n">
        <v>6338000</v>
      </c>
      <c r="G47" s="5" t="inlineStr">
        <is>
          <t>Servicio de suministro</t>
        </is>
      </c>
    </row>
    <row r="48">
      <c r="A48" s="5" t="inlineStr">
        <is>
          <t>FV-2026-047</t>
        </is>
      </c>
      <c r="B48" s="5" t="inlineStr">
        <is>
          <t>C018</t>
        </is>
      </c>
      <c r="C48" s="5">
        <f>IFERROR(INDEX(Clientes!$B$2:$B$21,MATCH(B48,Clientes!$A$2:$A$21,0)),"")</f>
        <v/>
      </c>
      <c r="D48" s="30" t="n">
        <v>46197</v>
      </c>
      <c r="E48" s="30" t="n">
        <v>46212</v>
      </c>
      <c r="F48" s="31" t="n">
        <v>2442000</v>
      </c>
      <c r="G48" s="5" t="inlineStr">
        <is>
          <t>Servicio de suministro</t>
        </is>
      </c>
    </row>
    <row r="49">
      <c r="A49" s="5" t="inlineStr">
        <is>
          <t>FV-2026-048</t>
        </is>
      </c>
      <c r="B49" s="5" t="inlineStr">
        <is>
          <t>C020</t>
        </is>
      </c>
      <c r="C49" s="5">
        <f>IFERROR(INDEX(Clientes!$B$2:$B$21,MATCH(B49,Clientes!$A$2:$A$21,0)),"")</f>
        <v/>
      </c>
      <c r="D49" s="30" t="n">
        <v>46276</v>
      </c>
      <c r="E49" s="30" t="n">
        <v>46306</v>
      </c>
      <c r="F49" s="31" t="n">
        <v>6626000</v>
      </c>
      <c r="G49" s="5" t="inlineStr">
        <is>
          <t>Pedido corporativo</t>
        </is>
      </c>
    </row>
    <row r="50">
      <c r="A50" s="5" t="inlineStr">
        <is>
          <t>FV-2026-049</t>
        </is>
      </c>
      <c r="B50" s="5" t="inlineStr">
        <is>
          <t>C020</t>
        </is>
      </c>
      <c r="C50" s="5">
        <f>IFERROR(INDEX(Clientes!$B$2:$B$21,MATCH(B50,Clientes!$A$2:$A$21,0)),"")</f>
        <v/>
      </c>
      <c r="D50" s="30" t="n">
        <v>46259</v>
      </c>
      <c r="E50" s="30" t="n">
        <v>46289</v>
      </c>
      <c r="F50" s="31" t="n">
        <v>4866000</v>
      </c>
      <c r="G50" s="5" t="inlineStr">
        <is>
          <t>Venta de mercancía</t>
        </is>
      </c>
    </row>
    <row r="51">
      <c r="A51" s="5" t="inlineStr">
        <is>
          <t>FV-2026-050</t>
        </is>
      </c>
      <c r="B51" s="5" t="inlineStr">
        <is>
          <t>C006</t>
        </is>
      </c>
      <c r="C51" s="5">
        <f>IFERROR(INDEX(Clientes!$B$2:$B$21,MATCH(B51,Clientes!$A$2:$A$21,0)),"")</f>
        <v/>
      </c>
      <c r="D51" s="30" t="n">
        <v>46142</v>
      </c>
      <c r="E51" s="30" t="n">
        <v>46202</v>
      </c>
      <c r="F51" s="31" t="n">
        <v>3970000</v>
      </c>
      <c r="G51" s="5" t="inlineStr">
        <is>
          <t>Pedido corporativo</t>
        </is>
      </c>
    </row>
  </sheetData>
  <autoFilter ref="A1:G5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6C8EBF"/>
    <outlinePr summaryBelow="1" summaryRight="1"/>
    <pageSetUpPr/>
  </sheetPr>
  <dimension ref="A1:F21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8" customWidth="1" min="3" max="3"/>
    <col width="16" customWidth="1" min="4" max="4"/>
    <col width="15" customWidth="1" min="5" max="5"/>
    <col width="10" customWidth="1" min="6" max="6"/>
  </cols>
  <sheetData>
    <row r="1" ht="32" customHeight="1">
      <c r="A1" s="29" t="inlineStr">
        <is>
          <t>ClienteID</t>
        </is>
      </c>
      <c r="B1" s="29" t="inlineStr">
        <is>
          <t>Nombre</t>
        </is>
      </c>
      <c r="C1" s="29" t="inlineStr">
        <is>
          <t>NIT</t>
        </is>
      </c>
      <c r="D1" s="29" t="inlineStr">
        <is>
          <t>Ciudad</t>
        </is>
      </c>
      <c r="E1" s="29" t="inlineStr">
        <is>
          <t>CupoCredito</t>
        </is>
      </c>
      <c r="F1" s="29" t="inlineStr">
        <is>
          <t>PlazoDias</t>
        </is>
      </c>
    </row>
    <row r="2">
      <c r="A2" s="5" t="inlineStr">
        <is>
          <t>C001</t>
        </is>
      </c>
      <c r="B2" s="5" t="inlineStr">
        <is>
          <t>Almacén Central S.A.S.</t>
        </is>
      </c>
      <c r="C2" s="5" t="inlineStr">
        <is>
          <t>900.123.456-1</t>
        </is>
      </c>
      <c r="D2" s="5" t="inlineStr">
        <is>
          <t>Medellín</t>
        </is>
      </c>
      <c r="E2" s="31" t="n">
        <v>25000000</v>
      </c>
      <c r="F2" s="32" t="n">
        <v>30</v>
      </c>
    </row>
    <row r="3">
      <c r="A3" s="5" t="inlineStr">
        <is>
          <t>C002</t>
        </is>
      </c>
      <c r="B3" s="5" t="inlineStr">
        <is>
          <t>Distribuidora El Poblado</t>
        </is>
      </c>
      <c r="C3" s="5" t="inlineStr">
        <is>
          <t>901.234.567-2</t>
        </is>
      </c>
      <c r="D3" s="5" t="inlineStr">
        <is>
          <t>Medellín</t>
        </is>
      </c>
      <c r="E3" s="31" t="n">
        <v>18000000</v>
      </c>
      <c r="F3" s="32" t="n">
        <v>30</v>
      </c>
    </row>
    <row r="4">
      <c r="A4" s="5" t="inlineStr">
        <is>
          <t>C003</t>
        </is>
      </c>
      <c r="B4" s="5" t="inlineStr">
        <is>
          <t>Ferretería La 80</t>
        </is>
      </c>
      <c r="C4" s="5" t="inlineStr">
        <is>
          <t>890.345.678-3</t>
        </is>
      </c>
      <c r="D4" s="5" t="inlineStr">
        <is>
          <t>Medellín</t>
        </is>
      </c>
      <c r="E4" s="31" t="n">
        <v>12000000</v>
      </c>
      <c r="F4" s="32" t="n">
        <v>45</v>
      </c>
    </row>
    <row r="5">
      <c r="A5" s="5" t="inlineStr">
        <is>
          <t>C004</t>
        </is>
      </c>
      <c r="B5" s="5" t="inlineStr">
        <is>
          <t>Suministros Antioquia</t>
        </is>
      </c>
      <c r="C5" s="5" t="inlineStr">
        <is>
          <t>900.456.789-4</t>
        </is>
      </c>
      <c r="D5" s="5" t="inlineStr">
        <is>
          <t>Itagüí</t>
        </is>
      </c>
      <c r="E5" s="31" t="n">
        <v>20000000</v>
      </c>
      <c r="F5" s="32" t="n">
        <v>30</v>
      </c>
    </row>
    <row r="6">
      <c r="A6" s="5" t="inlineStr">
        <is>
          <t>C005</t>
        </is>
      </c>
      <c r="B6" s="5" t="inlineStr">
        <is>
          <t>Papelería Modelo</t>
        </is>
      </c>
      <c r="C6" s="5" t="inlineStr">
        <is>
          <t>901.567.890-5</t>
        </is>
      </c>
      <c r="D6" s="5" t="inlineStr">
        <is>
          <t>Bello</t>
        </is>
      </c>
      <c r="E6" s="31" t="n">
        <v>8000000</v>
      </c>
      <c r="F6" s="32" t="n">
        <v>30</v>
      </c>
    </row>
    <row r="7">
      <c r="A7" s="5" t="inlineStr">
        <is>
          <t>C006</t>
        </is>
      </c>
      <c r="B7" s="5" t="inlineStr">
        <is>
          <t>Constructora Andina</t>
        </is>
      </c>
      <c r="C7" s="5" t="inlineStr">
        <is>
          <t>890.678.901-6</t>
        </is>
      </c>
      <c r="D7" s="5" t="inlineStr">
        <is>
          <t>Medellín</t>
        </is>
      </c>
      <c r="E7" s="31" t="n">
        <v>35000000</v>
      </c>
      <c r="F7" s="32" t="n">
        <v>60</v>
      </c>
    </row>
    <row r="8">
      <c r="A8" s="5" t="inlineStr">
        <is>
          <t>C007</t>
        </is>
      </c>
      <c r="B8" s="5" t="inlineStr">
        <is>
          <t>Hotel Mirador</t>
        </is>
      </c>
      <c r="C8" s="5" t="inlineStr">
        <is>
          <t>900.789.012-7</t>
        </is>
      </c>
      <c r="D8" s="5" t="inlineStr">
        <is>
          <t>Medellín</t>
        </is>
      </c>
      <c r="E8" s="31" t="n">
        <v>15000000</v>
      </c>
      <c r="F8" s="32" t="n">
        <v>45</v>
      </c>
    </row>
    <row r="9">
      <c r="A9" s="5" t="inlineStr">
        <is>
          <t>C008</t>
        </is>
      </c>
      <c r="B9" s="5" t="inlineStr">
        <is>
          <t>Clínica San Lucas</t>
        </is>
      </c>
      <c r="C9" s="5" t="inlineStr">
        <is>
          <t>901.890.123-8</t>
        </is>
      </c>
      <c r="D9" s="5" t="inlineStr">
        <is>
          <t>Envigado</t>
        </is>
      </c>
      <c r="E9" s="31" t="n">
        <v>22000000</v>
      </c>
      <c r="F9" s="32" t="n">
        <v>30</v>
      </c>
    </row>
    <row r="10">
      <c r="A10" s="5" t="inlineStr">
        <is>
          <t>C009</t>
        </is>
      </c>
      <c r="B10" s="5" t="inlineStr">
        <is>
          <t>Colegio Nuevo Horizonte</t>
        </is>
      </c>
      <c r="C10" s="5" t="inlineStr">
        <is>
          <t>890.901.234-9</t>
        </is>
      </c>
      <c r="D10" s="5" t="inlineStr">
        <is>
          <t>Sabaneta</t>
        </is>
      </c>
      <c r="E10" s="31" t="n">
        <v>10000000</v>
      </c>
      <c r="F10" s="32" t="n">
        <v>45</v>
      </c>
    </row>
    <row r="11">
      <c r="A11" s="5" t="inlineStr">
        <is>
          <t>C010</t>
        </is>
      </c>
      <c r="B11" s="5" t="inlineStr">
        <is>
          <t>Supermercado La Estrella</t>
        </is>
      </c>
      <c r="C11" s="5" t="inlineStr">
        <is>
          <t>900.012.345-0</t>
        </is>
      </c>
      <c r="D11" s="5" t="inlineStr">
        <is>
          <t>La Estrella</t>
        </is>
      </c>
      <c r="E11" s="31" t="n">
        <v>14000000</v>
      </c>
      <c r="F11" s="32" t="n">
        <v>30</v>
      </c>
    </row>
    <row r="12">
      <c r="A12" s="5" t="inlineStr">
        <is>
          <t>C011</t>
        </is>
      </c>
      <c r="B12" s="5" t="inlineStr">
        <is>
          <t>Talleres Jaramillo</t>
        </is>
      </c>
      <c r="C12" s="5" t="inlineStr">
        <is>
          <t>901.123.456-1</t>
        </is>
      </c>
      <c r="D12" s="5" t="inlineStr">
        <is>
          <t>Medellín</t>
        </is>
      </c>
      <c r="E12" s="31" t="n">
        <v>9000000</v>
      </c>
      <c r="F12" s="32" t="n">
        <v>30</v>
      </c>
    </row>
    <row r="13">
      <c r="A13" s="5" t="inlineStr">
        <is>
          <t>C012</t>
        </is>
      </c>
      <c r="B13" s="5" t="inlineStr">
        <is>
          <t>Restaurante El Trapiche</t>
        </is>
      </c>
      <c r="C13" s="5" t="inlineStr">
        <is>
          <t>890.234.567-2</t>
        </is>
      </c>
      <c r="D13" s="5" t="inlineStr">
        <is>
          <t>Medellín</t>
        </is>
      </c>
      <c r="E13" s="31" t="n">
        <v>7000000</v>
      </c>
      <c r="F13" s="32" t="n">
        <v>15</v>
      </c>
    </row>
    <row r="14">
      <c r="A14" s="5" t="inlineStr">
        <is>
          <t>C013</t>
        </is>
      </c>
      <c r="B14" s="5" t="inlineStr">
        <is>
          <t>Textiles Rionegro</t>
        </is>
      </c>
      <c r="C14" s="5" t="inlineStr">
        <is>
          <t>900.345.678-3</t>
        </is>
      </c>
      <c r="D14" s="5" t="inlineStr">
        <is>
          <t>Rionegro</t>
        </is>
      </c>
      <c r="E14" s="31" t="n">
        <v>28000000</v>
      </c>
      <c r="F14" s="32" t="n">
        <v>60</v>
      </c>
    </row>
    <row r="15">
      <c r="A15" s="5" t="inlineStr">
        <is>
          <t>C014</t>
        </is>
      </c>
      <c r="B15" s="5" t="inlineStr">
        <is>
          <t>Laboratorio Vital</t>
        </is>
      </c>
      <c r="C15" s="5" t="inlineStr">
        <is>
          <t>901.456.789-4</t>
        </is>
      </c>
      <c r="D15" s="5" t="inlineStr">
        <is>
          <t>Medellín</t>
        </is>
      </c>
      <c r="E15" s="31" t="n">
        <v>16000000</v>
      </c>
      <c r="F15" s="32" t="n">
        <v>45</v>
      </c>
    </row>
    <row r="16">
      <c r="A16" s="5" t="inlineStr">
        <is>
          <t>C015</t>
        </is>
      </c>
      <c r="B16" s="5" t="inlineStr">
        <is>
          <t>Centro Médico del Sur</t>
        </is>
      </c>
      <c r="C16" s="5" t="inlineStr">
        <is>
          <t>890.567.890-5</t>
        </is>
      </c>
      <c r="D16" s="5" t="inlineStr">
        <is>
          <t>Envigado</t>
        </is>
      </c>
      <c r="E16" s="31" t="n">
        <v>13000000</v>
      </c>
      <c r="F16" s="32" t="n">
        <v>30</v>
      </c>
    </row>
    <row r="17">
      <c r="A17" s="5" t="inlineStr">
        <is>
          <t>C016</t>
        </is>
      </c>
      <c r="B17" s="5" t="inlineStr">
        <is>
          <t>Oficinas Premium</t>
        </is>
      </c>
      <c r="C17" s="5" t="inlineStr">
        <is>
          <t>900.678.901-6</t>
        </is>
      </c>
      <c r="D17" s="5" t="inlineStr">
        <is>
          <t>Medellín</t>
        </is>
      </c>
      <c r="E17" s="31" t="n">
        <v>11000000</v>
      </c>
      <c r="F17" s="32" t="n">
        <v>30</v>
      </c>
    </row>
    <row r="18">
      <c r="A18" s="5" t="inlineStr">
        <is>
          <t>C017</t>
        </is>
      </c>
      <c r="B18" s="5" t="inlineStr">
        <is>
          <t>Transportes Cargo Sur</t>
        </is>
      </c>
      <c r="C18" s="5" t="inlineStr">
        <is>
          <t>901.789.012-7</t>
        </is>
      </c>
      <c r="D18" s="5" t="inlineStr">
        <is>
          <t>Caldas</t>
        </is>
      </c>
      <c r="E18" s="31" t="n">
        <v>19000000</v>
      </c>
      <c r="F18" s="32" t="n">
        <v>45</v>
      </c>
    </row>
    <row r="19">
      <c r="A19" s="5" t="inlineStr">
        <is>
          <t>C018</t>
        </is>
      </c>
      <c r="B19" s="5" t="inlineStr">
        <is>
          <t>Panadería La Espiga</t>
        </is>
      </c>
      <c r="C19" s="5" t="inlineStr">
        <is>
          <t>890.890.123-8</t>
        </is>
      </c>
      <c r="D19" s="5" t="inlineStr">
        <is>
          <t>Bello</t>
        </is>
      </c>
      <c r="E19" s="31" t="n">
        <v>5000000</v>
      </c>
      <c r="F19" s="32" t="n">
        <v>15</v>
      </c>
    </row>
    <row r="20">
      <c r="A20" s="5" t="inlineStr">
        <is>
          <t>C019</t>
        </is>
      </c>
      <c r="B20" s="5" t="inlineStr">
        <is>
          <t>Farmacia Central</t>
        </is>
      </c>
      <c r="C20" s="5" t="inlineStr">
        <is>
          <t>900.901.234-9</t>
        </is>
      </c>
      <c r="D20" s="5" t="inlineStr">
        <is>
          <t>Medellín</t>
        </is>
      </c>
      <c r="E20" s="31" t="n">
        <v>12000000</v>
      </c>
      <c r="F20" s="32" t="n">
        <v>30</v>
      </c>
    </row>
    <row r="21">
      <c r="A21" s="5" t="inlineStr">
        <is>
          <t>C020</t>
        </is>
      </c>
      <c r="B21" s="5" t="inlineStr">
        <is>
          <t>Imprenta Aurora</t>
        </is>
      </c>
      <c r="C21" s="5" t="inlineStr">
        <is>
          <t>901.012.345-0</t>
        </is>
      </c>
      <c r="D21" s="5" t="inlineStr">
        <is>
          <t>Medellín</t>
        </is>
      </c>
      <c r="E21" s="31" t="n">
        <v>8000000</v>
      </c>
      <c r="F21" s="32" t="n">
        <v>30</v>
      </c>
    </row>
  </sheetData>
  <autoFilter ref="A1:F2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6C8EBF"/>
    <outlinePr summaryBelow="1" summaryRight="1"/>
    <pageSetUpPr/>
  </sheetPr>
  <dimension ref="A1:E41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1" customWidth="1" min="3" max="3"/>
    <col width="16" customWidth="1" min="4" max="4"/>
    <col width="15" customWidth="1" min="5" max="5"/>
  </cols>
  <sheetData>
    <row r="1" ht="32" customHeight="1">
      <c r="A1" s="29" t="inlineStr">
        <is>
          <t>PagoID</t>
        </is>
      </c>
      <c r="B1" s="29" t="inlineStr">
        <is>
          <t>FacturaID</t>
        </is>
      </c>
      <c r="C1" s="29" t="inlineStr">
        <is>
          <t>ClienteID</t>
        </is>
      </c>
      <c r="D1" s="29" t="inlineStr">
        <is>
          <t>FechaAplicacion</t>
        </is>
      </c>
      <c r="E1" s="29" t="inlineStr">
        <is>
          <t>ValorAplicado</t>
        </is>
      </c>
    </row>
    <row r="2">
      <c r="A2" s="5" t="inlineStr">
        <is>
          <t>RC-2026-001</t>
        </is>
      </c>
      <c r="B2" s="5" t="inlineStr">
        <is>
          <t>FV-2026-026</t>
        </is>
      </c>
      <c r="C2" s="5" t="inlineStr">
        <is>
          <t>C010</t>
        </is>
      </c>
      <c r="D2" s="30" t="n">
        <v>46225</v>
      </c>
      <c r="E2" s="31" t="n">
        <v>4221000</v>
      </c>
    </row>
    <row r="3">
      <c r="A3" s="5" t="inlineStr">
        <is>
          <t>RC-2026-002</t>
        </is>
      </c>
      <c r="B3" s="5" t="inlineStr">
        <is>
          <t>FV-2026-034</t>
        </is>
      </c>
      <c r="C3" s="5" t="inlineStr">
        <is>
          <t>C019</t>
        </is>
      </c>
      <c r="D3" s="30" t="n">
        <v>46182</v>
      </c>
      <c r="E3" s="31" t="n">
        <v>4597000</v>
      </c>
    </row>
    <row r="4">
      <c r="A4" s="5" t="inlineStr">
        <is>
          <t>RC-2026-002</t>
        </is>
      </c>
      <c r="B4" s="5" t="inlineStr">
        <is>
          <t>FV-2026-040</t>
        </is>
      </c>
      <c r="C4" s="5" t="inlineStr">
        <is>
          <t>C019</t>
        </is>
      </c>
      <c r="D4" s="30" t="n">
        <v>46182</v>
      </c>
      <c r="E4" s="31" t="n">
        <v>1541000</v>
      </c>
    </row>
    <row r="5">
      <c r="A5" s="5" t="inlineStr">
        <is>
          <t>RC-2026-003</t>
        </is>
      </c>
      <c r="B5" s="5" t="inlineStr">
        <is>
          <t>FV-2026-018</t>
        </is>
      </c>
      <c r="C5" s="5" t="inlineStr">
        <is>
          <t>C018</t>
        </is>
      </c>
      <c r="D5" s="30" t="n">
        <v>46258</v>
      </c>
      <c r="E5" s="31" t="n">
        <v>7303000</v>
      </c>
    </row>
    <row r="6">
      <c r="A6" s="5" t="inlineStr">
        <is>
          <t>RC-2026-003</t>
        </is>
      </c>
      <c r="B6" s="5" t="inlineStr">
        <is>
          <t>FV-2026-047</t>
        </is>
      </c>
      <c r="C6" s="5" t="inlineStr">
        <is>
          <t>C018</t>
        </is>
      </c>
      <c r="D6" s="30" t="n">
        <v>46258</v>
      </c>
      <c r="E6" s="31" t="n">
        <v>2442000</v>
      </c>
    </row>
    <row r="7">
      <c r="A7" s="5" t="inlineStr">
        <is>
          <t>RC-2026-004</t>
        </is>
      </c>
      <c r="B7" s="5" t="inlineStr">
        <is>
          <t>FV-2026-017</t>
        </is>
      </c>
      <c r="C7" s="5" t="inlineStr">
        <is>
          <t>C017</t>
        </is>
      </c>
      <c r="D7" s="30" t="n">
        <v>46286</v>
      </c>
      <c r="E7" s="31" t="n">
        <v>1643000</v>
      </c>
    </row>
    <row r="8">
      <c r="A8" s="5" t="inlineStr">
        <is>
          <t>RC-2026-005</t>
        </is>
      </c>
      <c r="B8" s="5" t="inlineStr">
        <is>
          <t>FV-2026-032</t>
        </is>
      </c>
      <c r="C8" s="5" t="inlineStr">
        <is>
          <t>C003</t>
        </is>
      </c>
      <c r="D8" s="30" t="n">
        <v>46293</v>
      </c>
      <c r="E8" s="31" t="n">
        <v>1569000</v>
      </c>
    </row>
    <row r="9">
      <c r="A9" s="5" t="inlineStr">
        <is>
          <t>RC-2026-006</t>
        </is>
      </c>
      <c r="B9" s="5" t="inlineStr">
        <is>
          <t>FV-2026-014</t>
        </is>
      </c>
      <c r="C9" s="5" t="inlineStr">
        <is>
          <t>C014</t>
        </is>
      </c>
      <c r="D9" s="30" t="n">
        <v>46207</v>
      </c>
      <c r="E9" s="31" t="n">
        <v>2704000</v>
      </c>
    </row>
    <row r="10">
      <c r="A10" s="5" t="inlineStr">
        <is>
          <t>RC-2026-007</t>
        </is>
      </c>
      <c r="B10" s="5" t="inlineStr">
        <is>
          <t>FV-2026-026</t>
        </is>
      </c>
      <c r="C10" s="5" t="inlineStr">
        <is>
          <t>C010</t>
        </is>
      </c>
      <c r="D10" s="30" t="n">
        <v>46258</v>
      </c>
      <c r="E10" s="31" t="n">
        <v>1055000</v>
      </c>
    </row>
    <row r="11">
      <c r="A11" s="5" t="inlineStr">
        <is>
          <t>RC-2026-007</t>
        </is>
      </c>
      <c r="B11" s="5" t="inlineStr">
        <is>
          <t>FV-2026-010</t>
        </is>
      </c>
      <c r="C11" s="5" t="inlineStr">
        <is>
          <t>C010</t>
        </is>
      </c>
      <c r="D11" s="30" t="n">
        <v>46258</v>
      </c>
      <c r="E11" s="31" t="n">
        <v>4970000</v>
      </c>
    </row>
    <row r="12">
      <c r="A12" s="5" t="inlineStr">
        <is>
          <t>RC-2026-008</t>
        </is>
      </c>
      <c r="B12" s="5" t="inlineStr">
        <is>
          <t>FV-2026-025</t>
        </is>
      </c>
      <c r="C12" s="5" t="inlineStr">
        <is>
          <t>C011</t>
        </is>
      </c>
      <c r="D12" s="30" t="n">
        <v>46270</v>
      </c>
      <c r="E12" s="31" t="n">
        <v>3145000</v>
      </c>
    </row>
    <row r="13">
      <c r="A13" s="5" t="inlineStr">
        <is>
          <t>RC-2026-009</t>
        </is>
      </c>
      <c r="B13" s="5" t="inlineStr">
        <is>
          <t>FV-2026-016</t>
        </is>
      </c>
      <c r="C13" s="5" t="inlineStr">
        <is>
          <t>C016</t>
        </is>
      </c>
      <c r="D13" s="30" t="n">
        <v>46236</v>
      </c>
      <c r="E13" s="31" t="n">
        <v>6191000</v>
      </c>
    </row>
    <row r="14">
      <c r="A14" s="5" t="inlineStr">
        <is>
          <t>RC-2026-010</t>
        </is>
      </c>
      <c r="B14" s="5" t="inlineStr">
        <is>
          <t>FV-2026-001</t>
        </is>
      </c>
      <c r="C14" s="5" t="inlineStr">
        <is>
          <t>C001</t>
        </is>
      </c>
      <c r="D14" s="30" t="n">
        <v>46291</v>
      </c>
      <c r="E14" s="31" t="n">
        <v>2183000</v>
      </c>
    </row>
    <row r="15">
      <c r="A15" s="5" t="inlineStr">
        <is>
          <t>RC-2026-011</t>
        </is>
      </c>
      <c r="B15" s="5" t="inlineStr">
        <is>
          <t>FV-2026-036</t>
        </is>
      </c>
      <c r="C15" s="5" t="inlineStr">
        <is>
          <t>C004</t>
        </is>
      </c>
      <c r="D15" s="30" t="n">
        <v>46265</v>
      </c>
      <c r="E15" s="31" t="n">
        <v>590000</v>
      </c>
    </row>
    <row r="16">
      <c r="A16" s="5" t="inlineStr">
        <is>
          <t>RC-2026-012</t>
        </is>
      </c>
      <c r="B16" s="5" t="inlineStr">
        <is>
          <t>FV-2026-034</t>
        </is>
      </c>
      <c r="C16" s="5" t="inlineStr">
        <is>
          <t>C019</t>
        </is>
      </c>
      <c r="D16" s="30" t="n">
        <v>46225</v>
      </c>
      <c r="E16" s="31" t="n">
        <v>689000</v>
      </c>
    </row>
    <row r="17">
      <c r="A17" s="5" t="inlineStr">
        <is>
          <t>RC-2026-013</t>
        </is>
      </c>
      <c r="B17" s="5" t="inlineStr">
        <is>
          <t>FV-2026-017</t>
        </is>
      </c>
      <c r="C17" s="5" t="inlineStr">
        <is>
          <t>C017</t>
        </is>
      </c>
      <c r="D17" s="30" t="n">
        <v>46291</v>
      </c>
      <c r="E17" s="31" t="n">
        <v>986000</v>
      </c>
    </row>
    <row r="18">
      <c r="A18" s="5" t="inlineStr">
        <is>
          <t>RC-2026-014</t>
        </is>
      </c>
      <c r="B18" s="5" t="inlineStr">
        <is>
          <t>FV-2026-015</t>
        </is>
      </c>
      <c r="C18" s="5" t="inlineStr">
        <is>
          <t>C015</t>
        </is>
      </c>
      <c r="D18" s="30" t="n">
        <v>46289</v>
      </c>
      <c r="E18" s="31" t="n">
        <v>6009000</v>
      </c>
    </row>
    <row r="19">
      <c r="A19" s="5" t="inlineStr">
        <is>
          <t>RC-2026-015</t>
        </is>
      </c>
      <c r="B19" s="5" t="inlineStr">
        <is>
          <t>FV-2026-032</t>
        </is>
      </c>
      <c r="C19" s="5" t="inlineStr">
        <is>
          <t>C003</t>
        </is>
      </c>
      <c r="D19" s="30" t="n">
        <v>46261</v>
      </c>
      <c r="E19" s="31" t="n">
        <v>1726000</v>
      </c>
    </row>
    <row r="20">
      <c r="A20" s="5" t="inlineStr">
        <is>
          <t>RC-2026-016</t>
        </is>
      </c>
      <c r="B20" s="5" t="inlineStr">
        <is>
          <t>FV-2026-046</t>
        </is>
      </c>
      <c r="C20" s="5" t="inlineStr">
        <is>
          <t>C006</t>
        </is>
      </c>
      <c r="D20" s="30" t="n">
        <v>46281</v>
      </c>
      <c r="E20" s="31" t="n">
        <v>6338000</v>
      </c>
    </row>
    <row r="21">
      <c r="A21" s="5" t="inlineStr">
        <is>
          <t>RC-2026-017</t>
        </is>
      </c>
      <c r="B21" s="5" t="inlineStr">
        <is>
          <t>FV-2026-005</t>
        </is>
      </c>
      <c r="C21" s="5" t="inlineStr">
        <is>
          <t>C005</t>
        </is>
      </c>
      <c r="D21" s="30" t="n">
        <v>46158</v>
      </c>
      <c r="E21" s="31" t="n">
        <v>2306000</v>
      </c>
    </row>
    <row r="22">
      <c r="A22" s="5" t="inlineStr">
        <is>
          <t>RC-2026-018</t>
        </is>
      </c>
      <c r="B22" s="5" t="inlineStr">
        <is>
          <t>FV-2026-019</t>
        </is>
      </c>
      <c r="C22" s="5" t="inlineStr">
        <is>
          <t>C019</t>
        </is>
      </c>
      <c r="D22" s="30" t="n">
        <v>46152</v>
      </c>
      <c r="E22" s="31" t="n">
        <v>3828000</v>
      </c>
    </row>
    <row r="23">
      <c r="A23" s="5" t="inlineStr">
        <is>
          <t>RC-2026-019</t>
        </is>
      </c>
      <c r="B23" s="5" t="inlineStr">
        <is>
          <t>FV-2026-017</t>
        </is>
      </c>
      <c r="C23" s="5" t="inlineStr">
        <is>
          <t>C017</t>
        </is>
      </c>
      <c r="D23" s="30" t="n">
        <v>46277</v>
      </c>
      <c r="E23" s="31" t="n">
        <v>110000</v>
      </c>
    </row>
    <row r="24">
      <c r="A24" s="5" t="inlineStr">
        <is>
          <t>RC-2026-020</t>
        </is>
      </c>
      <c r="B24" s="5" t="inlineStr">
        <is>
          <t>FV-2026-008</t>
        </is>
      </c>
      <c r="C24" s="5" t="inlineStr">
        <is>
          <t>C008</t>
        </is>
      </c>
      <c r="D24" s="30" t="n">
        <v>46281</v>
      </c>
      <c r="E24" s="31" t="n">
        <v>6178000</v>
      </c>
    </row>
    <row r="25">
      <c r="A25" s="5" t="inlineStr">
        <is>
          <t>RC-2026-021</t>
        </is>
      </c>
      <c r="B25" s="5" t="inlineStr">
        <is>
          <t>FV-2026-009</t>
        </is>
      </c>
      <c r="C25" s="5" t="inlineStr">
        <is>
          <t>C009</t>
        </is>
      </c>
      <c r="D25" s="30" t="n">
        <v>46291</v>
      </c>
      <c r="E25" s="31" t="n">
        <v>4078000</v>
      </c>
    </row>
    <row r="26">
      <c r="A26" s="5" t="inlineStr">
        <is>
          <t>RC-2026-022</t>
        </is>
      </c>
      <c r="B26" s="5" t="inlineStr">
        <is>
          <t>FV-2026-009</t>
        </is>
      </c>
      <c r="C26" s="5" t="inlineStr">
        <is>
          <t>C009</t>
        </is>
      </c>
      <c r="D26" s="30" t="n">
        <v>46291</v>
      </c>
      <c r="E26" s="31" t="n">
        <v>453000</v>
      </c>
    </row>
    <row r="27">
      <c r="A27" s="5" t="inlineStr">
        <is>
          <t>RC-2026-023</t>
        </is>
      </c>
      <c r="B27" s="5" t="inlineStr">
        <is>
          <t>FV-2026-033</t>
        </is>
      </c>
      <c r="C27" s="5" t="inlineStr">
        <is>
          <t>C014</t>
        </is>
      </c>
      <c r="D27" s="30" t="n">
        <v>46276</v>
      </c>
      <c r="E27" s="31" t="n">
        <v>5275000</v>
      </c>
    </row>
    <row r="28">
      <c r="A28" s="5" t="inlineStr">
        <is>
          <t>RC-2026-023</t>
        </is>
      </c>
      <c r="B28" s="5" t="inlineStr">
        <is>
          <t>FV-2026-014</t>
        </is>
      </c>
      <c r="C28" s="5" t="inlineStr">
        <is>
          <t>C014</t>
        </is>
      </c>
      <c r="D28" s="30" t="n">
        <v>46276</v>
      </c>
      <c r="E28" s="31" t="n">
        <v>1982000</v>
      </c>
    </row>
    <row r="29">
      <c r="A29" s="5" t="inlineStr">
        <is>
          <t>RC-2026-024</t>
        </is>
      </c>
      <c r="B29" s="5" t="inlineStr">
        <is>
          <t>FV-2026-032</t>
        </is>
      </c>
      <c r="C29" s="5" t="inlineStr">
        <is>
          <t>C003</t>
        </is>
      </c>
      <c r="D29" s="30" t="n">
        <v>46276</v>
      </c>
      <c r="E29" s="31" t="n">
        <v>192000</v>
      </c>
    </row>
    <row r="30">
      <c r="A30" s="5" t="inlineStr">
        <is>
          <t>RC-2026-024</t>
        </is>
      </c>
      <c r="B30" s="5" t="inlineStr">
        <is>
          <t>FV-2026-003</t>
        </is>
      </c>
      <c r="C30" s="5" t="inlineStr">
        <is>
          <t>C003</t>
        </is>
      </c>
      <c r="D30" s="30" t="n">
        <v>46276</v>
      </c>
      <c r="E30" s="31" t="n">
        <v>5790000</v>
      </c>
    </row>
    <row r="31">
      <c r="A31" s="5" t="inlineStr">
        <is>
          <t>RC-2026-025</t>
        </is>
      </c>
      <c r="B31" s="5" t="inlineStr">
        <is>
          <t>FV-2026-036</t>
        </is>
      </c>
      <c r="C31" s="5" t="inlineStr">
        <is>
          <t>C004</t>
        </is>
      </c>
      <c r="D31" s="30" t="n">
        <v>46240</v>
      </c>
      <c r="E31" s="31" t="n">
        <v>541000</v>
      </c>
    </row>
    <row r="32">
      <c r="A32" s="5" t="inlineStr">
        <is>
          <t>RC-2026-026</t>
        </is>
      </c>
      <c r="B32" s="5" t="inlineStr">
        <is>
          <t>FV-2026-029</t>
        </is>
      </c>
      <c r="C32" s="5" t="inlineStr">
        <is>
          <t>C002</t>
        </is>
      </c>
      <c r="D32" s="30" t="n">
        <v>46239</v>
      </c>
      <c r="E32" s="31" t="n">
        <v>1361000</v>
      </c>
    </row>
    <row r="33">
      <c r="A33" s="5" t="inlineStr">
        <is>
          <t>RC-2026-027</t>
        </is>
      </c>
      <c r="B33" s="5" t="inlineStr">
        <is>
          <t>FV-2026-034</t>
        </is>
      </c>
      <c r="C33" s="5" t="inlineStr">
        <is>
          <t>C019</t>
        </is>
      </c>
      <c r="D33" s="30" t="n">
        <v>46258</v>
      </c>
      <c r="E33" s="31" t="n">
        <v>506000</v>
      </c>
    </row>
    <row r="34">
      <c r="A34" s="5" t="inlineStr">
        <is>
          <t>RC-2026-028</t>
        </is>
      </c>
      <c r="B34" s="5" t="inlineStr">
        <is>
          <t>FV-2026-001</t>
        </is>
      </c>
      <c r="C34" s="5" t="inlineStr">
        <is>
          <t>C001</t>
        </is>
      </c>
      <c r="D34" s="30" t="n">
        <v>46272</v>
      </c>
      <c r="E34" s="31" t="n">
        <v>1310000</v>
      </c>
    </row>
    <row r="35">
      <c r="A35" s="5" t="inlineStr">
        <is>
          <t>RC-2026-029</t>
        </is>
      </c>
      <c r="B35" s="5" t="inlineStr">
        <is>
          <t>FV-2026-024</t>
        </is>
      </c>
      <c r="C35" s="5" t="inlineStr">
        <is>
          <t>C009</t>
        </is>
      </c>
      <c r="D35" s="30" t="n">
        <v>46277</v>
      </c>
      <c r="E35" s="31" t="n">
        <v>6001000</v>
      </c>
    </row>
    <row r="36">
      <c r="A36" s="5" t="inlineStr">
        <is>
          <t>RC-2026-030</t>
        </is>
      </c>
      <c r="B36" s="5" t="inlineStr">
        <is>
          <t>FV-2026-034</t>
        </is>
      </c>
      <c r="C36" s="5" t="inlineStr">
        <is>
          <t>C019</t>
        </is>
      </c>
      <c r="D36" s="30" t="n">
        <v>46239</v>
      </c>
      <c r="E36" s="31" t="n">
        <v>337000</v>
      </c>
    </row>
    <row r="37">
      <c r="A37" s="5" t="inlineStr">
        <is>
          <t>RC-2026-031</t>
        </is>
      </c>
      <c r="B37" s="5" t="inlineStr">
        <is>
          <t>FV-2026-022</t>
        </is>
      </c>
      <c r="C37" s="5" t="inlineStr">
        <is>
          <t>C007</t>
        </is>
      </c>
      <c r="D37" s="30" t="n">
        <v>46274</v>
      </c>
      <c r="E37" s="31" t="n">
        <v>4825000</v>
      </c>
    </row>
    <row r="38">
      <c r="A38" s="5" t="inlineStr">
        <is>
          <t>RC-2026-032</t>
        </is>
      </c>
      <c r="B38" s="5" t="inlineStr">
        <is>
          <t>FV-2026-010</t>
        </is>
      </c>
      <c r="C38" s="5" t="inlineStr">
        <is>
          <t>C010</t>
        </is>
      </c>
      <c r="D38" s="30" t="n">
        <v>46284</v>
      </c>
      <c r="E38" s="31" t="n">
        <v>552000</v>
      </c>
    </row>
    <row r="39">
      <c r="A39" s="5" t="inlineStr">
        <is>
          <t>RC-2026-033</t>
        </is>
      </c>
      <c r="B39" s="5" t="inlineStr">
        <is>
          <t>FV-2026-005</t>
        </is>
      </c>
      <c r="C39" s="5" t="inlineStr">
        <is>
          <t>C005</t>
        </is>
      </c>
      <c r="D39" s="30" t="n">
        <v>46209</v>
      </c>
      <c r="E39" s="31" t="n">
        <v>2537000</v>
      </c>
    </row>
    <row r="40">
      <c r="A40" s="5" t="inlineStr">
        <is>
          <t>RC-2026-034</t>
        </is>
      </c>
      <c r="B40" s="5" t="inlineStr">
        <is>
          <t>FV-2026-005</t>
        </is>
      </c>
      <c r="C40" s="5" t="inlineStr">
        <is>
          <t>C005</t>
        </is>
      </c>
      <c r="D40" s="30" t="n">
        <v>46171</v>
      </c>
      <c r="E40" s="31" t="n">
        <v>212000</v>
      </c>
    </row>
    <row r="41">
      <c r="A41" s="5" t="inlineStr">
        <is>
          <t>RC-2026-035</t>
        </is>
      </c>
      <c r="B41" s="5" t="inlineStr">
        <is>
          <t>FV-2026-005</t>
        </is>
      </c>
      <c r="C41" s="5" t="inlineStr">
        <is>
          <t>C005</t>
        </is>
      </c>
      <c r="D41" s="30" t="n">
        <v>46219</v>
      </c>
      <c r="E41" s="31" t="n">
        <v>32000</v>
      </c>
    </row>
  </sheetData>
  <autoFilter ref="A1:E4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6C8EBF"/>
    <outlinePr summaryBelow="1" summaryRight="1"/>
    <pageSetUpPr/>
  </sheetPr>
  <dimension ref="A1:E36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6" customWidth="1" min="3" max="3"/>
    <col width="15" customWidth="1" min="4" max="4"/>
    <col width="12" customWidth="1" min="5" max="5"/>
  </cols>
  <sheetData>
    <row r="1" ht="32" customHeight="1">
      <c r="A1" s="29" t="inlineStr">
        <is>
          <t>Fecha</t>
        </is>
      </c>
      <c r="B1" s="29" t="inlineStr">
        <is>
          <t>Referencia</t>
        </is>
      </c>
      <c r="C1" s="29" t="inlineStr">
        <is>
          <t>Descripcion</t>
        </is>
      </c>
      <c r="D1" s="29" t="inlineStr">
        <is>
          <t>Valor</t>
        </is>
      </c>
      <c r="E1" s="29" t="inlineStr">
        <is>
          <t>Tipo</t>
        </is>
      </c>
    </row>
    <row r="2">
      <c r="A2" s="30" t="n">
        <v>46152</v>
      </c>
      <c r="B2" s="5" t="inlineStr">
        <is>
          <t>PAGO-0018</t>
        </is>
      </c>
      <c r="C2" s="5" t="inlineStr">
        <is>
          <t>Recaudo neto - comisión bancaria</t>
        </is>
      </c>
      <c r="D2" s="31" t="n">
        <v>3803000</v>
      </c>
      <c r="E2" s="5" t="inlineStr">
        <is>
          <t>Depósito</t>
        </is>
      </c>
    </row>
    <row r="3">
      <c r="A3" s="30" t="n">
        <v>46158</v>
      </c>
      <c r="B3" s="5" t="inlineStr">
        <is>
          <t>PAGO-0017</t>
        </is>
      </c>
      <c r="C3" s="5" t="inlineStr">
        <is>
          <t>Recaudo transferencia</t>
        </is>
      </c>
      <c r="D3" s="31" t="n">
        <v>2306000</v>
      </c>
      <c r="E3" s="5" t="inlineStr">
        <is>
          <t>Depósito</t>
        </is>
      </c>
    </row>
    <row r="4">
      <c r="A4" s="30" t="n">
        <v>46172</v>
      </c>
      <c r="B4" s="5" t="inlineStr">
        <is>
          <t>PAGO-0034</t>
        </is>
      </c>
      <c r="C4" s="5" t="inlineStr">
        <is>
          <t>Recaudo transferencia</t>
        </is>
      </c>
      <c r="D4" s="31" t="n">
        <v>212000</v>
      </c>
      <c r="E4" s="5" t="inlineStr">
        <is>
          <t>Depósito</t>
        </is>
      </c>
    </row>
    <row r="5">
      <c r="A5" s="30" t="n">
        <v>46182</v>
      </c>
      <c r="B5" s="5" t="inlineStr">
        <is>
          <t>PAGO-0002</t>
        </is>
      </c>
      <c r="C5" s="5" t="inlineStr">
        <is>
          <t>Recaudo transferencia</t>
        </is>
      </c>
      <c r="D5" s="31" t="n">
        <v>6138000</v>
      </c>
      <c r="E5" s="5" t="inlineStr">
        <is>
          <t>Depósito</t>
        </is>
      </c>
    </row>
    <row r="6">
      <c r="A6" s="30" t="n">
        <v>46207</v>
      </c>
      <c r="B6" s="5" t="inlineStr">
        <is>
          <t>PAGO-0006</t>
        </is>
      </c>
      <c r="C6" s="5" t="inlineStr">
        <is>
          <t>Recaudo transferencia</t>
        </is>
      </c>
      <c r="D6" s="31" t="n">
        <v>2704000</v>
      </c>
      <c r="E6" s="5" t="inlineStr">
        <is>
          <t>Depósito</t>
        </is>
      </c>
    </row>
    <row r="7">
      <c r="A7" s="30" t="n">
        <v>46209</v>
      </c>
      <c r="B7" s="5" t="inlineStr">
        <is>
          <t>PAGO-0033</t>
        </is>
      </c>
      <c r="C7" s="5" t="inlineStr">
        <is>
          <t>Recaudo transferencia</t>
        </is>
      </c>
      <c r="D7" s="31" t="n">
        <v>2537000</v>
      </c>
      <c r="E7" s="5" t="inlineStr">
        <is>
          <t>Depósito</t>
        </is>
      </c>
    </row>
    <row r="8">
      <c r="A8" s="30" t="n">
        <v>46225</v>
      </c>
      <c r="B8" s="5" t="inlineStr">
        <is>
          <t>PAGO-0001</t>
        </is>
      </c>
      <c r="C8" s="5" t="inlineStr">
        <is>
          <t>Recaudo transferencia</t>
        </is>
      </c>
      <c r="D8" s="31" t="n">
        <v>4221000</v>
      </c>
      <c r="E8" s="5" t="inlineStr">
        <is>
          <t>Depósito</t>
        </is>
      </c>
    </row>
    <row r="9">
      <c r="A9" s="30" t="n">
        <v>46226</v>
      </c>
      <c r="B9" s="5" t="inlineStr">
        <is>
          <t>PAGO-0012</t>
        </is>
      </c>
      <c r="C9" s="5" t="inlineStr">
        <is>
          <t>Recaudo transferencia</t>
        </is>
      </c>
      <c r="D9" s="31" t="n">
        <v>689000</v>
      </c>
      <c r="E9" s="5" t="inlineStr">
        <is>
          <t>Depósito</t>
        </is>
      </c>
    </row>
    <row r="10">
      <c r="A10" s="30" t="n">
        <v>46236</v>
      </c>
      <c r="B10" s="5" t="inlineStr">
        <is>
          <t>PAGO-0009</t>
        </is>
      </c>
      <c r="C10" s="5" t="inlineStr">
        <is>
          <t>Recaudo transferencia</t>
        </is>
      </c>
      <c r="D10" s="31" t="n">
        <v>6191000</v>
      </c>
      <c r="E10" s="5" t="inlineStr">
        <is>
          <t>Depósito</t>
        </is>
      </c>
    </row>
    <row r="11">
      <c r="A11" s="30" t="n">
        <v>46239</v>
      </c>
      <c r="B11" s="5" t="inlineStr">
        <is>
          <t>PAGO-0030</t>
        </is>
      </c>
      <c r="C11" s="5" t="inlineStr">
        <is>
          <t>Recaudo transferencia</t>
        </is>
      </c>
      <c r="D11" s="31" t="n">
        <v>337000</v>
      </c>
      <c r="E11" s="5" t="inlineStr">
        <is>
          <t>Depósito</t>
        </is>
      </c>
    </row>
    <row r="12">
      <c r="A12" s="30" t="n">
        <v>46240</v>
      </c>
      <c r="B12" s="5" t="inlineStr">
        <is>
          <t>PAGO-0025</t>
        </is>
      </c>
      <c r="C12" s="5" t="inlineStr">
        <is>
          <t>Recaudo transferencia</t>
        </is>
      </c>
      <c r="D12" s="31" t="n">
        <v>541000</v>
      </c>
      <c r="E12" s="5" t="inlineStr">
        <is>
          <t>Depósito</t>
        </is>
      </c>
    </row>
    <row r="13">
      <c r="A13" s="30" t="n">
        <v>46240</v>
      </c>
      <c r="B13" s="5" t="inlineStr">
        <is>
          <t>PAGO-0026</t>
        </is>
      </c>
      <c r="C13" s="5" t="inlineStr">
        <is>
          <t>Recaudo transferencia</t>
        </is>
      </c>
      <c r="D13" s="31" t="n">
        <v>1361000</v>
      </c>
      <c r="E13" s="5" t="inlineStr">
        <is>
          <t>Depósito</t>
        </is>
      </c>
    </row>
    <row r="14">
      <c r="A14" s="30" t="n">
        <v>46258</v>
      </c>
      <c r="B14" s="5" t="inlineStr">
        <is>
          <t>PAGO-0003</t>
        </is>
      </c>
      <c r="C14" s="5" t="inlineStr">
        <is>
          <t>Recaudo transferencia</t>
        </is>
      </c>
      <c r="D14" s="31" t="n">
        <v>9925000</v>
      </c>
      <c r="E14" s="5" t="inlineStr">
        <is>
          <t>Depósito</t>
        </is>
      </c>
    </row>
    <row r="15">
      <c r="A15" s="30" t="n">
        <v>46258</v>
      </c>
      <c r="B15" s="5" t="inlineStr">
        <is>
          <t>PAGO-0027</t>
        </is>
      </c>
      <c r="C15" s="5" t="inlineStr">
        <is>
          <t>Recaudo transferencia</t>
        </is>
      </c>
      <c r="D15" s="31" t="n">
        <v>506000</v>
      </c>
      <c r="E15" s="5" t="inlineStr">
        <is>
          <t>Depósito</t>
        </is>
      </c>
    </row>
    <row r="16">
      <c r="A16" s="30" t="n">
        <v>46259</v>
      </c>
      <c r="B16" s="5" t="inlineStr">
        <is>
          <t>PAGO-0007</t>
        </is>
      </c>
      <c r="C16" s="5" t="inlineStr">
        <is>
          <t>Recaudo transferencia</t>
        </is>
      </c>
      <c r="D16" s="31" t="n">
        <v>6025000</v>
      </c>
      <c r="E16" s="5" t="inlineStr">
        <is>
          <t>Depósito</t>
        </is>
      </c>
    </row>
    <row r="17">
      <c r="A17" s="30" t="n">
        <v>46262</v>
      </c>
      <c r="B17" s="5" t="inlineStr">
        <is>
          <t>PAGO-0015</t>
        </is>
      </c>
      <c r="C17" s="5" t="inlineStr">
        <is>
          <t>Recaudo transferencia</t>
        </is>
      </c>
      <c r="D17" s="31" t="n">
        <v>1726000</v>
      </c>
      <c r="E17" s="5" t="inlineStr">
        <is>
          <t>Depósito</t>
        </is>
      </c>
    </row>
    <row r="18">
      <c r="A18" s="30" t="n">
        <v>46265</v>
      </c>
      <c r="B18" s="5" t="inlineStr">
        <is>
          <t>PAGO-0011</t>
        </is>
      </c>
      <c r="C18" s="5" t="inlineStr">
        <is>
          <t>Recaudo transferencia</t>
        </is>
      </c>
      <c r="D18" s="31" t="n">
        <v>910000</v>
      </c>
      <c r="E18" s="5" t="inlineStr">
        <is>
          <t>Depósito</t>
        </is>
      </c>
    </row>
    <row r="19">
      <c r="A19" s="30" t="n">
        <v>46270</v>
      </c>
      <c r="B19" s="5" t="inlineStr">
        <is>
          <t>PAGO-0008</t>
        </is>
      </c>
      <c r="C19" s="5" t="inlineStr">
        <is>
          <t>Recaudo transferencia</t>
        </is>
      </c>
      <c r="D19" s="31" t="n">
        <v>3145000</v>
      </c>
      <c r="E19" s="5" t="inlineStr">
        <is>
          <t>Depósito</t>
        </is>
      </c>
    </row>
    <row r="20">
      <c r="A20" s="30" t="n">
        <v>46272</v>
      </c>
      <c r="B20" s="5" t="inlineStr">
        <is>
          <t>PAGO-0028</t>
        </is>
      </c>
      <c r="C20" s="5" t="inlineStr">
        <is>
          <t>Recaudo transferencia</t>
        </is>
      </c>
      <c r="D20" s="31" t="n">
        <v>1310000</v>
      </c>
      <c r="E20" s="5" t="inlineStr">
        <is>
          <t>Depósito</t>
        </is>
      </c>
    </row>
    <row r="21">
      <c r="A21" s="30" t="n">
        <v>46274</v>
      </c>
      <c r="B21" s="5" t="inlineStr">
        <is>
          <t>PAGO-0031</t>
        </is>
      </c>
      <c r="C21" s="5" t="inlineStr">
        <is>
          <t>Recaudo transferencia</t>
        </is>
      </c>
      <c r="D21" s="31" t="n">
        <v>5245000</v>
      </c>
      <c r="E21" s="5" t="inlineStr">
        <is>
          <t>Depósito</t>
        </is>
      </c>
    </row>
    <row r="22">
      <c r="A22" s="30" t="n">
        <v>46276</v>
      </c>
      <c r="B22" s="5" t="inlineStr">
        <is>
          <t>PAGO-0023</t>
        </is>
      </c>
      <c r="C22" s="5" t="inlineStr">
        <is>
          <t>Recaudo transferencia</t>
        </is>
      </c>
      <c r="D22" s="31" t="n">
        <v>7407000</v>
      </c>
      <c r="E22" s="5" t="inlineStr">
        <is>
          <t>Depósito</t>
        </is>
      </c>
    </row>
    <row r="23">
      <c r="A23" s="30" t="n">
        <v>46276</v>
      </c>
      <c r="B23" s="5" t="inlineStr">
        <is>
          <t>PAGO-0024</t>
        </is>
      </c>
      <c r="C23" s="5" t="inlineStr">
        <is>
          <t>Recaudo transferencia</t>
        </is>
      </c>
      <c r="D23" s="31" t="n">
        <v>5982000</v>
      </c>
      <c r="E23" s="5" t="inlineStr">
        <is>
          <t>Depósito</t>
        </is>
      </c>
    </row>
    <row r="24">
      <c r="A24" s="30" t="n">
        <v>46277</v>
      </c>
      <c r="B24" s="5" t="inlineStr">
        <is>
          <t>PAGO-0019</t>
        </is>
      </c>
      <c r="C24" s="5" t="inlineStr">
        <is>
          <t>Recaudo transferencia</t>
        </is>
      </c>
      <c r="D24" s="31" t="n">
        <v>110000</v>
      </c>
      <c r="E24" s="5" t="inlineStr">
        <is>
          <t>Depósito</t>
        </is>
      </c>
    </row>
    <row r="25">
      <c r="A25" s="30" t="n">
        <v>46277</v>
      </c>
      <c r="B25" s="5" t="inlineStr">
        <is>
          <t>PAGO-0029</t>
        </is>
      </c>
      <c r="C25" s="5" t="inlineStr">
        <is>
          <t>Recaudo transferencia</t>
        </is>
      </c>
      <c r="D25" s="31" t="n">
        <v>6001000</v>
      </c>
      <c r="E25" s="5" t="inlineStr">
        <is>
          <t>Depósito</t>
        </is>
      </c>
    </row>
    <row r="26">
      <c r="A26" s="30" t="n">
        <v>46281</v>
      </c>
      <c r="B26" s="5" t="inlineStr">
        <is>
          <t>PAGO-0016</t>
        </is>
      </c>
      <c r="C26" s="5" t="inlineStr">
        <is>
          <t>Recaudo transferencia</t>
        </is>
      </c>
      <c r="D26" s="31" t="n">
        <v>6338000</v>
      </c>
      <c r="E26" s="5" t="inlineStr">
        <is>
          <t>Depósito</t>
        </is>
      </c>
    </row>
    <row r="27">
      <c r="A27" s="30" t="n">
        <v>46281</v>
      </c>
      <c r="B27" s="5" t="inlineStr">
        <is>
          <t>PAGO-0020</t>
        </is>
      </c>
      <c r="C27" s="5" t="inlineStr">
        <is>
          <t>Recaudo transferencia</t>
        </is>
      </c>
      <c r="D27" s="31" t="n">
        <v>6178000</v>
      </c>
      <c r="E27" s="5" t="inlineStr">
        <is>
          <t>Depósito</t>
        </is>
      </c>
    </row>
    <row r="28">
      <c r="A28" s="30" t="n">
        <v>46285</v>
      </c>
      <c r="B28" s="5" t="inlineStr">
        <is>
          <t>PAGO-0032</t>
        </is>
      </c>
      <c r="C28" s="5" t="inlineStr">
        <is>
          <t>Recaudo transferencia</t>
        </is>
      </c>
      <c r="D28" s="31" t="n">
        <v>552000</v>
      </c>
      <c r="E28" s="5" t="inlineStr">
        <is>
          <t>Depósito</t>
        </is>
      </c>
    </row>
    <row r="29">
      <c r="A29" s="30" t="n">
        <v>46286</v>
      </c>
      <c r="B29" s="5" t="inlineStr">
        <is>
          <t>PAGO-0004</t>
        </is>
      </c>
      <c r="C29" s="5" t="inlineStr">
        <is>
          <t>Recaudo transferencia</t>
        </is>
      </c>
      <c r="D29" s="31" t="n">
        <v>1643000</v>
      </c>
      <c r="E29" s="5" t="inlineStr">
        <is>
          <t>Depósito</t>
        </is>
      </c>
    </row>
    <row r="30">
      <c r="A30" s="30" t="n">
        <v>46289</v>
      </c>
      <c r="B30" s="5" t="inlineStr">
        <is>
          <t>PAGO-0014</t>
        </is>
      </c>
      <c r="C30" s="5" t="inlineStr">
        <is>
          <t>Recaudo transferencia</t>
        </is>
      </c>
      <c r="D30" s="31" t="n">
        <v>6009000</v>
      </c>
      <c r="E30" s="5" t="inlineStr">
        <is>
          <t>Depósito</t>
        </is>
      </c>
    </row>
    <row r="31">
      <c r="A31" s="30" t="n">
        <v>46291</v>
      </c>
      <c r="B31" s="5" t="inlineStr">
        <is>
          <t>PAGO-0010</t>
        </is>
      </c>
      <c r="C31" s="5" t="inlineStr">
        <is>
          <t>Recaudo transferencia</t>
        </is>
      </c>
      <c r="D31" s="31" t="n">
        <v>2183000</v>
      </c>
      <c r="E31" s="5" t="inlineStr">
        <is>
          <t>Depósito</t>
        </is>
      </c>
    </row>
    <row r="32">
      <c r="A32" s="30" t="n">
        <v>46291</v>
      </c>
      <c r="B32" s="5" t="inlineStr">
        <is>
          <t>PAGO-0013</t>
        </is>
      </c>
      <c r="C32" s="5" t="inlineStr">
        <is>
          <t>Recaudo transferencia</t>
        </is>
      </c>
      <c r="D32" s="31" t="n">
        <v>986000</v>
      </c>
      <c r="E32" s="5" t="inlineStr">
        <is>
          <t>Depósito</t>
        </is>
      </c>
    </row>
    <row r="33">
      <c r="A33" s="30" t="n">
        <v>46291</v>
      </c>
      <c r="B33" s="5" t="inlineStr">
        <is>
          <t>PAGO-0021</t>
        </is>
      </c>
      <c r="C33" s="5" t="inlineStr">
        <is>
          <t>Recaudo transferencia</t>
        </is>
      </c>
      <c r="D33" s="31" t="n">
        <v>4078000</v>
      </c>
      <c r="E33" s="5" t="inlineStr">
        <is>
          <t>Depósito</t>
        </is>
      </c>
    </row>
    <row r="34">
      <c r="A34" s="30" t="n">
        <v>46291</v>
      </c>
      <c r="B34" s="5" t="inlineStr">
        <is>
          <t>PAGO-0022</t>
        </is>
      </c>
      <c r="C34" s="5" t="inlineStr">
        <is>
          <t>Recaudo transferencia</t>
        </is>
      </c>
      <c r="D34" s="31" t="n">
        <v>453000</v>
      </c>
      <c r="E34" s="5" t="inlineStr">
        <is>
          <t>Depósito</t>
        </is>
      </c>
    </row>
    <row r="35">
      <c r="A35" s="30" t="n">
        <v>46293</v>
      </c>
      <c r="B35" s="5" t="inlineStr">
        <is>
          <t>DEP-2026-999</t>
        </is>
      </c>
      <c r="C35" s="5" t="inlineStr">
        <is>
          <t>Transferencia no identificada</t>
        </is>
      </c>
      <c r="D35" s="31" t="n">
        <v>1250000</v>
      </c>
      <c r="E35" s="5" t="inlineStr">
        <is>
          <t>Depósito</t>
        </is>
      </c>
    </row>
    <row r="36">
      <c r="A36" s="30" t="n">
        <v>46293</v>
      </c>
      <c r="B36" s="5" t="inlineStr">
        <is>
          <t>PAGO-0005</t>
        </is>
      </c>
      <c r="C36" s="5" t="inlineStr">
        <is>
          <t>Recaudo transferencia</t>
        </is>
      </c>
      <c r="D36" s="31" t="n">
        <v>1569000</v>
      </c>
      <c r="E36" s="5" t="inlineStr">
        <is>
          <t>Depósito</t>
        </is>
      </c>
    </row>
  </sheetData>
  <autoFilter ref="A1:E3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7F8C8D"/>
    <outlinePr summaryBelow="1" summaryRight="1"/>
    <pageSetUpPr/>
  </sheetPr>
  <dimension ref="A1:C11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65" customWidth="1" min="3" max="3"/>
  </cols>
  <sheetData>
    <row r="1" ht="28" customHeight="1">
      <c r="A1" s="40" t="inlineStr">
        <is>
          <t>Validación de integridad</t>
        </is>
      </c>
    </row>
    <row r="3" ht="32" customHeight="1">
      <c r="A3" s="29" t="inlineStr">
        <is>
          <t>Chequeo</t>
        </is>
      </c>
      <c r="B3" s="29" t="inlineStr">
        <is>
          <t>Resultado</t>
        </is>
      </c>
      <c r="C3" s="29" t="inlineStr">
        <is>
          <t>Detalle</t>
        </is>
      </c>
    </row>
    <row r="4">
      <c r="A4" s="5" t="inlineStr">
        <is>
          <t>Pagos no aplicados no negativos</t>
        </is>
      </c>
      <c r="B4" s="20">
        <f>IF(COUNTIF(Pagos!G2:G36,"&lt;0")=0,"OK","Revisar")</f>
        <v/>
      </c>
      <c r="C4" s="5" t="inlineStr">
        <is>
          <t>Ningún pago tiene valor aplicado mayor al recibido.</t>
        </is>
      </c>
    </row>
    <row r="5">
      <c r="A5" s="5" t="inlineStr">
        <is>
          <t>Cartera = facturas - NC + ND - aplicado</t>
        </is>
      </c>
      <c r="B5" s="20">
        <f>IF(ABS(SUM(Cartera!J2:J51)-(SUM(Facturas!F2:F51)-SUMIFS(Notas!F2:F15,Notas!A2:A15,"Crédito")+SUMIFS(Notas!F2:F15,Notas!A2:A15,"Débito")-SUM(Aplicacion!E2:E41)))&lt;1,"OK","Revisar")</f>
        <v/>
      </c>
      <c r="C5" s="5" t="inlineStr">
        <is>
          <t>Cuadre del saldo total.</t>
        </is>
      </c>
    </row>
    <row r="6">
      <c r="A6" s="5" t="inlineStr">
        <is>
          <t>Aging = cartera total</t>
        </is>
      </c>
      <c r="B6" s="20">
        <f>IF(ABS(SUM(Aging!D2:D21)-SUM(Cartera!J2:J51))&lt;1,"OK","Revisar")</f>
        <v/>
      </c>
      <c r="C6" s="5" t="inlineStr">
        <is>
          <t>La suma por cliente coincide con el detalle.</t>
        </is>
      </c>
    </row>
    <row r="7">
      <c r="A7" s="5" t="inlineStr">
        <is>
          <t>Recaudo = aplicado + no aplicado</t>
        </is>
      </c>
      <c r="B7" s="20">
        <f>IF(ABS(SUM(Pagos!E2:E36)-(SUM(Pagos!F2:F36)+SUM(Pagos!G2:G36)))&lt;1,"OK","Revisar")</f>
        <v/>
      </c>
      <c r="C7" s="5" t="inlineStr">
        <is>
          <t>Todo el recaudo está clasificado.</t>
        </is>
      </c>
    </row>
    <row r="8">
      <c r="A8" s="5" t="inlineStr">
        <is>
          <t>Conciliación = banco - pagos</t>
        </is>
      </c>
      <c r="B8" s="20">
        <f>IF(ABS(SUM(Conciliacion!G2:G37)-(SUM(Extracto!D2:D36)-SUM(Pagos!E2:E36)))&lt;1,"OK","Revisar")</f>
        <v/>
      </c>
      <c r="C8" s="5" t="inlineStr">
        <is>
          <t>La diferencia está explicada por las partidas.</t>
        </is>
      </c>
    </row>
    <row r="9">
      <c r="A9" s="5" t="inlineStr">
        <is>
          <t>Sin saldos de factura negativos</t>
        </is>
      </c>
      <c r="B9" s="20">
        <f>IF(COUNTIF(Cartera!J2:J51,"&lt;-1")=0,"OK","Revisar")</f>
        <v/>
      </c>
      <c r="C9" s="5" t="inlineStr">
        <is>
          <t>Ninguna factura queda sobrepagada.</t>
        </is>
      </c>
    </row>
    <row r="10">
      <c r="A10" s="5" t="inlineStr">
        <is>
          <t>Todos los clientes de facturas existen</t>
        </is>
      </c>
      <c r="B10" s="20">
        <f>IF(COUNTIF(Facturas!C2:C51,"")=0,"OK","Revisar")</f>
        <v/>
      </c>
      <c r="C10" s="5" t="inlineStr">
        <is>
          <t>No hay clientes huérfanos.</t>
        </is>
      </c>
    </row>
    <row r="11">
      <c r="A11" s="5" t="inlineStr">
        <is>
          <t>Ranking de clientes completo</t>
        </is>
      </c>
      <c r="B11" s="20">
        <f>IF(COUNTIF(Aging!M2:M21,"")=0,"OK","Revisar")</f>
        <v/>
      </c>
      <c r="C11" s="5" t="inlineStr">
        <is>
          <t>Cada cliente tiene posición única.</t>
        </is>
      </c>
    </row>
  </sheetData>
  <mergeCells count="1">
    <mergeCell ref="A1:C1"/>
  </mergeCells>
  <conditionalFormatting sqref="B4:B11">
    <cfRule type="expression" priority="1" dxfId="2">
      <formula>$B4="OK"</formula>
    </cfRule>
    <cfRule type="expression" priority="2" dxfId="0">
      <formula>$B4="Revisar"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2026-10-29T20:51:48Z</dcterms:created>
  <dcterms:modified xmlns:dcterms="http://purl.org/dc/terms/" xmlns:xsi="http://www.w3.org/2001/XMLSchema-instance" xsi:type="dcterms:W3CDTF">2026-10-29T20:51:48Z</dcterms:modified>
</cp:coreProperties>
</file>